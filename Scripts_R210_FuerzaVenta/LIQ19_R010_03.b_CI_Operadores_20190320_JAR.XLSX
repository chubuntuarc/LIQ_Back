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Tomza.TI\JArciniegaR.TI\1.SOL_Soluciones\LIQ19_Liquidaciones\Codigo\CodigoSQL\LIQ19_Liberacion_R0.00_Base_V0004\Scripts_R210_FuerzaVenta\"/>
    </mc:Choice>
  </mc:AlternateContent>
  <bookViews>
    <workbookView xWindow="0" yWindow="0" windowWidth="20490" windowHeight="7620" activeTab="1"/>
  </bookViews>
  <sheets>
    <sheet name="TABLA" sheetId="2" r:id="rId1"/>
    <sheet name="CI_" sheetId="1" r:id="rId2"/>
    <sheet name="CI_ (2)" sheetId="5" state="hidden" r:id="rId3"/>
    <sheet name="Hoja1" sheetId="3" r:id="rId4"/>
    <sheet name="Hoja2" sheetId="4" r:id="rId5"/>
  </sheets>
  <definedNames>
    <definedName name="_xlnm._FilterDatabase" localSheetId="1" hidden="1">CI_!$A$1:$AJ$92</definedName>
    <definedName name="_xlnm._FilterDatabase" localSheetId="2" hidden="1">'CI_ (2)'!$A$1:$AJ$266</definedName>
    <definedName name="_xlnm._FilterDatabase" localSheetId="3" hidden="1">Hoja1!$A$1:$AC$265</definedName>
    <definedName name="_xlnm._FilterDatabase" localSheetId="4" hidden="1">Hoja2!$A$1:$N$267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4" i="1" l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3" i="1"/>
  <c r="A1" i="2" l="1"/>
  <c r="Y5" i="4" l="1"/>
  <c r="Y6" i="4"/>
  <c r="Y9" i="4"/>
  <c r="Y10" i="4"/>
  <c r="Y13" i="4"/>
  <c r="Y14" i="4"/>
  <c r="Y17" i="4"/>
  <c r="Y18" i="4"/>
  <c r="Y21" i="4"/>
  <c r="Y22" i="4"/>
  <c r="Y25" i="4"/>
  <c r="Y26" i="4"/>
  <c r="Y29" i="4"/>
  <c r="Y30" i="4"/>
  <c r="Y33" i="4"/>
  <c r="Y34" i="4"/>
  <c r="Y37" i="4"/>
  <c r="Y38" i="4"/>
  <c r="Y41" i="4"/>
  <c r="Y42" i="4"/>
  <c r="Y45" i="4"/>
  <c r="Y46" i="4"/>
  <c r="Y49" i="4"/>
  <c r="Y50" i="4"/>
  <c r="Y53" i="4"/>
  <c r="Y54" i="4"/>
  <c r="Y57" i="4"/>
  <c r="Y58" i="4"/>
  <c r="Y61" i="4"/>
  <c r="Y62" i="4"/>
  <c r="Y65" i="4"/>
  <c r="Y66" i="4"/>
  <c r="Y69" i="4"/>
  <c r="Y70" i="4"/>
  <c r="Y73" i="4"/>
  <c r="Y74" i="4"/>
  <c r="Y77" i="4"/>
  <c r="Y78" i="4"/>
  <c r="Y81" i="4"/>
  <c r="Y82" i="4"/>
  <c r="Y85" i="4"/>
  <c r="Y86" i="4"/>
  <c r="Y89" i="4"/>
  <c r="Y90" i="4"/>
  <c r="X3" i="4"/>
  <c r="Y3" i="4" s="1"/>
  <c r="X4" i="4"/>
  <c r="Y4" i="4" s="1"/>
  <c r="X5" i="4"/>
  <c r="X6" i="4"/>
  <c r="X7" i="4"/>
  <c r="Y7" i="4" s="1"/>
  <c r="X8" i="4"/>
  <c r="Y8" i="4" s="1"/>
  <c r="X9" i="4"/>
  <c r="X10" i="4"/>
  <c r="X11" i="4"/>
  <c r="Y11" i="4" s="1"/>
  <c r="X12" i="4"/>
  <c r="Y12" i="4" s="1"/>
  <c r="X13" i="4"/>
  <c r="X14" i="4"/>
  <c r="X15" i="4"/>
  <c r="Y15" i="4" s="1"/>
  <c r="X16" i="4"/>
  <c r="Y16" i="4" s="1"/>
  <c r="X17" i="4"/>
  <c r="X18" i="4"/>
  <c r="X19" i="4"/>
  <c r="Y19" i="4" s="1"/>
  <c r="X20" i="4"/>
  <c r="Y20" i="4" s="1"/>
  <c r="X21" i="4"/>
  <c r="X22" i="4"/>
  <c r="X23" i="4"/>
  <c r="Y23" i="4" s="1"/>
  <c r="X24" i="4"/>
  <c r="Y24" i="4" s="1"/>
  <c r="X25" i="4"/>
  <c r="X26" i="4"/>
  <c r="X27" i="4"/>
  <c r="Y27" i="4" s="1"/>
  <c r="X28" i="4"/>
  <c r="Y28" i="4" s="1"/>
  <c r="X29" i="4"/>
  <c r="X30" i="4"/>
  <c r="X31" i="4"/>
  <c r="Y31" i="4" s="1"/>
  <c r="X32" i="4"/>
  <c r="Y32" i="4" s="1"/>
  <c r="X33" i="4"/>
  <c r="X34" i="4"/>
  <c r="X35" i="4"/>
  <c r="Y35" i="4" s="1"/>
  <c r="X36" i="4"/>
  <c r="Y36" i="4" s="1"/>
  <c r="X37" i="4"/>
  <c r="X38" i="4"/>
  <c r="X39" i="4"/>
  <c r="Y39" i="4" s="1"/>
  <c r="X40" i="4"/>
  <c r="Y40" i="4" s="1"/>
  <c r="X41" i="4"/>
  <c r="X42" i="4"/>
  <c r="X43" i="4"/>
  <c r="Y43" i="4" s="1"/>
  <c r="X44" i="4"/>
  <c r="Y44" i="4" s="1"/>
  <c r="X45" i="4"/>
  <c r="X46" i="4"/>
  <c r="X47" i="4"/>
  <c r="Y47" i="4" s="1"/>
  <c r="X48" i="4"/>
  <c r="Y48" i="4" s="1"/>
  <c r="X49" i="4"/>
  <c r="X50" i="4"/>
  <c r="X51" i="4"/>
  <c r="Y51" i="4" s="1"/>
  <c r="X52" i="4"/>
  <c r="Y52" i="4" s="1"/>
  <c r="X53" i="4"/>
  <c r="X54" i="4"/>
  <c r="X55" i="4"/>
  <c r="Y55" i="4" s="1"/>
  <c r="X56" i="4"/>
  <c r="Y56" i="4" s="1"/>
  <c r="X57" i="4"/>
  <c r="X58" i="4"/>
  <c r="X59" i="4"/>
  <c r="Y59" i="4" s="1"/>
  <c r="X60" i="4"/>
  <c r="Y60" i="4" s="1"/>
  <c r="X61" i="4"/>
  <c r="X62" i="4"/>
  <c r="X63" i="4"/>
  <c r="Y63" i="4" s="1"/>
  <c r="X64" i="4"/>
  <c r="Y64" i="4" s="1"/>
  <c r="X65" i="4"/>
  <c r="X66" i="4"/>
  <c r="X67" i="4"/>
  <c r="Y67" i="4" s="1"/>
  <c r="X68" i="4"/>
  <c r="Y68" i="4" s="1"/>
  <c r="X69" i="4"/>
  <c r="X70" i="4"/>
  <c r="X71" i="4"/>
  <c r="Y71" i="4" s="1"/>
  <c r="X72" i="4"/>
  <c r="Y72" i="4" s="1"/>
  <c r="X73" i="4"/>
  <c r="X74" i="4"/>
  <c r="X75" i="4"/>
  <c r="Y75" i="4" s="1"/>
  <c r="X76" i="4"/>
  <c r="Y76" i="4" s="1"/>
  <c r="X77" i="4"/>
  <c r="X78" i="4"/>
  <c r="X79" i="4"/>
  <c r="Y79" i="4" s="1"/>
  <c r="X80" i="4"/>
  <c r="Y80" i="4" s="1"/>
  <c r="X81" i="4"/>
  <c r="X82" i="4"/>
  <c r="X83" i="4"/>
  <c r="Y83" i="4" s="1"/>
  <c r="X84" i="4"/>
  <c r="Y84" i="4" s="1"/>
  <c r="X85" i="4"/>
  <c r="X86" i="4"/>
  <c r="X87" i="4"/>
  <c r="Y87" i="4" s="1"/>
  <c r="X88" i="4"/>
  <c r="Y88" i="4" s="1"/>
  <c r="X89" i="4"/>
  <c r="X90" i="4"/>
  <c r="X91" i="4"/>
  <c r="Y91" i="4" s="1"/>
  <c r="X2" i="4"/>
  <c r="Y2" i="4" s="1"/>
  <c r="F266" i="5"/>
  <c r="F265" i="5"/>
  <c r="F264" i="5"/>
  <c r="F263" i="5"/>
  <c r="F262" i="5"/>
  <c r="F261" i="5"/>
  <c r="F260" i="5"/>
  <c r="F259" i="5"/>
  <c r="F258" i="5"/>
  <c r="F257" i="5"/>
  <c r="F256" i="5"/>
  <c r="F255" i="5"/>
  <c r="F254" i="5"/>
  <c r="F253" i="5"/>
  <c r="F252" i="5"/>
  <c r="F251" i="5"/>
  <c r="F250" i="5"/>
  <c r="F249" i="5"/>
  <c r="F248" i="5"/>
  <c r="F247" i="5"/>
  <c r="F246" i="5"/>
  <c r="F245" i="5"/>
  <c r="F244" i="5"/>
  <c r="F243" i="5"/>
  <c r="F242" i="5"/>
  <c r="F241" i="5"/>
  <c r="F240" i="5"/>
  <c r="F239" i="5"/>
  <c r="F238" i="5"/>
  <c r="F237" i="5"/>
  <c r="F236" i="5"/>
  <c r="F235" i="5"/>
  <c r="F234" i="5"/>
  <c r="F233" i="5"/>
  <c r="F232" i="5"/>
  <c r="F231" i="5"/>
  <c r="F230" i="5"/>
  <c r="F229" i="5"/>
  <c r="F228" i="5"/>
  <c r="F227" i="5"/>
  <c r="F226" i="5"/>
  <c r="F225" i="5"/>
  <c r="F224" i="5"/>
  <c r="F223" i="5"/>
  <c r="F222" i="5"/>
  <c r="F221" i="5"/>
  <c r="F220" i="5"/>
  <c r="F219" i="5"/>
  <c r="F218" i="5"/>
  <c r="F217" i="5"/>
  <c r="F216" i="5"/>
  <c r="F215" i="5"/>
  <c r="F214" i="5"/>
  <c r="F213" i="5"/>
  <c r="F212" i="5"/>
  <c r="F211" i="5"/>
  <c r="F210" i="5"/>
  <c r="F209" i="5"/>
  <c r="F208" i="5"/>
  <c r="F207" i="5"/>
  <c r="F206" i="5"/>
  <c r="F205" i="5"/>
  <c r="F204" i="5"/>
  <c r="F203" i="5"/>
  <c r="F202" i="5"/>
  <c r="F201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179" i="5"/>
  <c r="F178" i="5"/>
  <c r="F177" i="5"/>
  <c r="F176" i="5"/>
  <c r="F175" i="5"/>
  <c r="F174" i="5"/>
  <c r="F173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AG2" i="5"/>
  <c r="AH1" i="5"/>
  <c r="AJ1" i="5" s="1"/>
  <c r="AG165" i="5" l="1"/>
  <c r="AG163" i="5"/>
  <c r="AG161" i="5"/>
  <c r="AG159" i="5"/>
  <c r="AG157" i="5"/>
  <c r="AG155" i="5"/>
  <c r="AG153" i="5"/>
  <c r="AG151" i="5"/>
  <c r="AG149" i="5"/>
  <c r="AG147" i="5"/>
  <c r="AG145" i="5"/>
  <c r="AG143" i="5"/>
  <c r="AG141" i="5"/>
  <c r="AG139" i="5"/>
  <c r="AG137" i="5"/>
  <c r="AG135" i="5"/>
  <c r="AG133" i="5"/>
  <c r="AG131" i="5"/>
  <c r="AG129" i="5"/>
  <c r="AG127" i="5"/>
  <c r="AG125" i="5"/>
  <c r="AG123" i="5"/>
  <c r="AG121" i="5"/>
  <c r="AG119" i="5"/>
  <c r="AG117" i="5"/>
  <c r="AG115" i="5"/>
  <c r="AG113" i="5"/>
  <c r="AG111" i="5"/>
  <c r="AG109" i="5"/>
  <c r="AG107" i="5"/>
  <c r="AG105" i="5"/>
  <c r="AG103" i="5"/>
  <c r="AG101" i="5"/>
  <c r="AG99" i="5"/>
  <c r="AG97" i="5"/>
  <c r="AG95" i="5"/>
  <c r="AG93" i="5"/>
  <c r="AG91" i="5"/>
  <c r="AG89" i="5"/>
  <c r="AG87" i="5"/>
  <c r="AG85" i="5"/>
  <c r="AG83" i="5"/>
  <c r="AG81" i="5"/>
  <c r="AG79" i="5"/>
  <c r="AG77" i="5"/>
  <c r="AG75" i="5"/>
  <c r="AG73" i="5"/>
  <c r="AG71" i="5"/>
  <c r="AG69" i="5"/>
  <c r="AG67" i="5"/>
  <c r="AG65" i="5"/>
  <c r="AG63" i="5"/>
  <c r="AG61" i="5"/>
  <c r="AG59" i="5"/>
  <c r="AG57" i="5"/>
  <c r="AG55" i="5"/>
  <c r="AG53" i="5"/>
  <c r="AG51" i="5"/>
  <c r="AG49" i="5"/>
  <c r="AG47" i="5"/>
  <c r="AG45" i="5"/>
  <c r="AG43" i="5"/>
  <c r="AG41" i="5"/>
  <c r="AG39" i="5"/>
  <c r="AG37" i="5"/>
  <c r="AG35" i="5"/>
  <c r="AG33" i="5"/>
  <c r="AG31" i="5"/>
  <c r="AG29" i="5"/>
  <c r="AG27" i="5"/>
  <c r="AG25" i="5"/>
  <c r="AG23" i="5"/>
  <c r="AG21" i="5"/>
  <c r="AG19" i="5"/>
  <c r="AG17" i="5"/>
  <c r="AG15" i="5"/>
  <c r="AG13" i="5"/>
  <c r="AG11" i="5"/>
  <c r="AG9" i="5"/>
  <c r="AG7" i="5"/>
  <c r="AG5" i="5"/>
  <c r="AG3" i="5"/>
  <c r="AG162" i="5"/>
  <c r="AG160" i="5"/>
  <c r="AG156" i="5"/>
  <c r="AG164" i="5"/>
  <c r="AG158" i="5"/>
  <c r="AG154" i="5"/>
  <c r="AG150" i="5"/>
  <c r="AG4" i="5"/>
  <c r="AG12" i="5"/>
  <c r="AG36" i="5"/>
  <c r="AG44" i="5"/>
  <c r="AG68" i="5"/>
  <c r="AG76" i="5"/>
  <c r="AG100" i="5"/>
  <c r="AG108" i="5"/>
  <c r="AG132" i="5"/>
  <c r="AG148" i="5"/>
  <c r="AG10" i="5"/>
  <c r="AG18" i="5"/>
  <c r="AG26" i="5"/>
  <c r="AG34" i="5"/>
  <c r="AG42" i="5"/>
  <c r="AG50" i="5"/>
  <c r="AG58" i="5"/>
  <c r="AG66" i="5"/>
  <c r="AG74" i="5"/>
  <c r="AG82" i="5"/>
  <c r="AG90" i="5"/>
  <c r="AG98" i="5"/>
  <c r="AG106" i="5"/>
  <c r="AG114" i="5"/>
  <c r="AG122" i="5"/>
  <c r="AG130" i="5"/>
  <c r="AG138" i="5"/>
  <c r="AG146" i="5"/>
  <c r="AG152" i="5"/>
  <c r="AG8" i="5"/>
  <c r="AG16" i="5"/>
  <c r="AG24" i="5"/>
  <c r="AG32" i="5"/>
  <c r="AG40" i="5"/>
  <c r="AG48" i="5"/>
  <c r="AG56" i="5"/>
  <c r="AG64" i="5"/>
  <c r="AG72" i="5"/>
  <c r="AG80" i="5"/>
  <c r="AG88" i="5"/>
  <c r="AG96" i="5"/>
  <c r="AG104" i="5"/>
  <c r="AG112" i="5"/>
  <c r="AG120" i="5"/>
  <c r="AG128" i="5"/>
  <c r="AG136" i="5"/>
  <c r="AG144" i="5"/>
  <c r="AG20" i="5"/>
  <c r="AG28" i="5"/>
  <c r="AG52" i="5"/>
  <c r="AG60" i="5"/>
  <c r="AG84" i="5"/>
  <c r="AG92" i="5"/>
  <c r="AG116" i="5"/>
  <c r="AG124" i="5"/>
  <c r="AG140" i="5"/>
  <c r="AG6" i="5"/>
  <c r="AG14" i="5"/>
  <c r="AG22" i="5"/>
  <c r="AG30" i="5"/>
  <c r="AG38" i="5"/>
  <c r="AG46" i="5"/>
  <c r="AG54" i="5"/>
  <c r="AG62" i="5"/>
  <c r="AG70" i="5"/>
  <c r="AG78" i="5"/>
  <c r="AG86" i="5"/>
  <c r="AG94" i="5"/>
  <c r="AG102" i="5"/>
  <c r="AG110" i="5"/>
  <c r="AG118" i="5"/>
  <c r="AG126" i="5"/>
  <c r="AG134" i="5"/>
  <c r="AG142" i="5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" i="4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" i="4"/>
  <c r="AH1" i="1" l="1"/>
  <c r="AJ1" i="1" l="1"/>
  <c r="AG2" i="1" l="1"/>
</calcChain>
</file>

<file path=xl/sharedStrings.xml><?xml version="1.0" encoding="utf-8"?>
<sst xmlns="http://schemas.openxmlformats.org/spreadsheetml/2006/main" count="9259" uniqueCount="2917">
  <si>
    <t>L_DEBUG</t>
  </si>
  <si>
    <t>K_SISTEMA_EXE</t>
  </si>
  <si>
    <t>K_USUARIO_ACCION</t>
  </si>
  <si>
    <t>X</t>
  </si>
  <si>
    <t>Tipo Dato</t>
  </si>
  <si>
    <t>PK</t>
  </si>
  <si>
    <t xml:space="preserve">] </t>
  </si>
  <si>
    <t>-</t>
  </si>
  <si>
    <t>???</t>
  </si>
  <si>
    <t>NULL</t>
  </si>
  <si>
    <t>EXECUTE [dbo].[</t>
  </si>
  <si>
    <t>ACTIVO</t>
  </si>
  <si>
    <t>N/A</t>
  </si>
  <si>
    <t>S/N</t>
  </si>
  <si>
    <t>NA</t>
  </si>
  <si>
    <t>[K_TERMINAL]</t>
  </si>
  <si>
    <t>[K_CHOFER]</t>
  </si>
  <si>
    <t>[D_CHOFER]</t>
  </si>
  <si>
    <t>[C_CHOFER]</t>
  </si>
  <si>
    <t>[K_ESTATUS_CHOFER]</t>
  </si>
  <si>
    <t>[K_ESTADO_CIVIL]</t>
  </si>
  <si>
    <t>[K_SEXO]</t>
  </si>
  <si>
    <t>[NOMBRE]</t>
  </si>
  <si>
    <t>[APELLIDO_PATERNO]</t>
  </si>
  <si>
    <t>[APELLIDO_MATERNO]</t>
  </si>
  <si>
    <t>[RFC]</t>
  </si>
  <si>
    <t>[CURP]</t>
  </si>
  <si>
    <t>[NSS]</t>
  </si>
  <si>
    <t>[F_INGRESO]</t>
  </si>
  <si>
    <t>[F_NACIMIENTO]</t>
  </si>
  <si>
    <t>[TELEFONO]</t>
  </si>
  <si>
    <t>[CORREO]</t>
  </si>
  <si>
    <t>[CALLE]</t>
  </si>
  <si>
    <t>[NUMERO_EXTERIOR]</t>
  </si>
  <si>
    <t>[NUMERO_INTERIOR]</t>
  </si>
  <si>
    <t>[COLONIA]</t>
  </si>
  <si>
    <t>[CP]</t>
  </si>
  <si>
    <t>[MUNICIPIO]</t>
  </si>
  <si>
    <t>[NUMERO_LICENCIA_CHOFER]</t>
  </si>
  <si>
    <t>[F_VIGENCIA_LICENCIA]</t>
  </si>
  <si>
    <t>[SALARIO_DIARIO]</t>
  </si>
  <si>
    <t>[SALARIO_DIARIO_INTEGRADO]</t>
  </si>
  <si>
    <t>[INT]</t>
  </si>
  <si>
    <t>[VARCHAR](255)</t>
  </si>
  <si>
    <t>[VARCHAR](500)</t>
  </si>
  <si>
    <t>[VARCHAR](100)</t>
  </si>
  <si>
    <t>[DATE]</t>
  </si>
  <si>
    <t xml:space="preserve">[VARCHAR](100)  </t>
  </si>
  <si>
    <t xml:space="preserve">[DECIMAL](10,4) </t>
  </si>
  <si>
    <t>idChofer</t>
  </si>
  <si>
    <t>idTrans</t>
  </si>
  <si>
    <t>chofer</t>
  </si>
  <si>
    <t>edoChofer</t>
  </si>
  <si>
    <t>captura</t>
  </si>
  <si>
    <t>NumEmpleadoNominas</t>
  </si>
  <si>
    <t>fechaNacimiento</t>
  </si>
  <si>
    <t>fechaIngreso</t>
  </si>
  <si>
    <t>fechaIngresoImss</t>
  </si>
  <si>
    <t>deptoPertenece</t>
  </si>
  <si>
    <t>puesto</t>
  </si>
  <si>
    <t>numSegSocial</t>
  </si>
  <si>
    <t>rfc</t>
  </si>
  <si>
    <t>curp</t>
  </si>
  <si>
    <t>sd</t>
  </si>
  <si>
    <t>sdi</t>
  </si>
  <si>
    <t>sSemanal</t>
  </si>
  <si>
    <t>idTerminalPertenece</t>
  </si>
  <si>
    <t>estadoCivil</t>
  </si>
  <si>
    <t>telefono</t>
  </si>
  <si>
    <t>calle</t>
  </si>
  <si>
    <t>colonia</t>
  </si>
  <si>
    <t>cp</t>
  </si>
  <si>
    <t>municipio</t>
  </si>
  <si>
    <t>estado</t>
  </si>
  <si>
    <t>sexo</t>
  </si>
  <si>
    <t>tieneInfonavit</t>
  </si>
  <si>
    <t>licencia</t>
  </si>
  <si>
    <t>fechaVigenciaLicencia</t>
  </si>
  <si>
    <t>ALCANTARA ROA ALBINO</t>
  </si>
  <si>
    <t>BAJA</t>
  </si>
  <si>
    <t>SILZA</t>
  </si>
  <si>
    <t>OPERACIÃ“N</t>
  </si>
  <si>
    <t>OPERADOR</t>
  </si>
  <si>
    <t>AARA560301HMCLXL06</t>
  </si>
  <si>
    <t>04455 19761014</t>
  </si>
  <si>
    <t>GUARANA MZ 13 LT-129-A</t>
  </si>
  <si>
    <t>SANTA FE HOMEX</t>
  </si>
  <si>
    <t>ZUMPANGO</t>
  </si>
  <si>
    <t>ESTADO DE MEXICO</t>
  </si>
  <si>
    <t>MASCULINO</t>
  </si>
  <si>
    <t>MOR05244    B-E</t>
  </si>
  <si>
    <t>ALMEIDA CRUZ ALADINO</t>
  </si>
  <si>
    <t>Transportadora</t>
  </si>
  <si>
    <t>AECA590320HVZLRL04</t>
  </si>
  <si>
    <t>CASADO</t>
  </si>
  <si>
    <t>81 1547 1907</t>
  </si>
  <si>
    <t>RIO BLANCO NO. 17 A</t>
  </si>
  <si>
    <t>LOMAS DE REMEDIO II</t>
  </si>
  <si>
    <t>VERACRUZ</t>
  </si>
  <si>
    <t>VER101557   E</t>
  </si>
  <si>
    <t>ALMEIDA LINALDI LUIS ANTONIO</t>
  </si>
  <si>
    <t>AELL790508HVZLNS17</t>
  </si>
  <si>
    <t>12, FRACC. STA. ELENA NO. 7 MZ-21</t>
  </si>
  <si>
    <t>MIGUEL HIDALGO</t>
  </si>
  <si>
    <t>VILLA HERMOSA</t>
  </si>
  <si>
    <t>TABASCO</t>
  </si>
  <si>
    <t>VER0122937</t>
  </si>
  <si>
    <t>AMAYA FLORES JUAN FRANCISCO</t>
  </si>
  <si>
    <t>AAFJ780523HJCMLN07</t>
  </si>
  <si>
    <t>VALENTINA CIEN NO. 109</t>
  </si>
  <si>
    <t>FRACC. REAL DE TULIPANES</t>
  </si>
  <si>
    <t>TLAQUEPAQUE</t>
  </si>
  <si>
    <t>JALISCO</t>
  </si>
  <si>
    <t>APODACA MENDOZA ALEJANDRO</t>
  </si>
  <si>
    <t>AOMA850507HCHPNL01</t>
  </si>
  <si>
    <t>MONTES ROCALLOSOS NO. 6171</t>
  </si>
  <si>
    <t>LOMAS DE SAN JOSE</t>
  </si>
  <si>
    <t>CD. JUAREZ</t>
  </si>
  <si>
    <t>CHIHUAHUA</t>
  </si>
  <si>
    <t>APODACA MENDOZA SERGIO</t>
  </si>
  <si>
    <t>Silvia Moreno</t>
  </si>
  <si>
    <t>AOMS840129HCHPNR04</t>
  </si>
  <si>
    <t>614 494 4361</t>
  </si>
  <si>
    <t>SAN JUAN S/N, MZ 23</t>
  </si>
  <si>
    <t>SAN ISIDRO IXHUATEPEC</t>
  </si>
  <si>
    <t>TLALNEPANTLA</t>
  </si>
  <si>
    <t>COAH215161 E</t>
  </si>
  <si>
    <t>ARGUETA HERNANDEZ ALFONSO</t>
  </si>
  <si>
    <t>AUHA551110HDFRRL01</t>
  </si>
  <si>
    <t>01773 1461954</t>
  </si>
  <si>
    <t>ROBLE S/N</t>
  </si>
  <si>
    <t>NANTZHA</t>
  </si>
  <si>
    <t>TULA DE ALLENDE</t>
  </si>
  <si>
    <t>HIDALGO</t>
  </si>
  <si>
    <t>ARGUETA VARGAS FERNANDO</t>
  </si>
  <si>
    <t>AUVF590724HCSRRR06</t>
  </si>
  <si>
    <t>COLON NO. 209</t>
  </si>
  <si>
    <t>TONALA SUR</t>
  </si>
  <si>
    <t>TONALA</t>
  </si>
  <si>
    <t>AVILA RODRIGUEZ JAVIER ANTONIO</t>
  </si>
  <si>
    <t>AIRJ700113HPLVDV03</t>
  </si>
  <si>
    <t>871 160 6836</t>
  </si>
  <si>
    <t>GUERREO NO. 98</t>
  </si>
  <si>
    <t>BARRIO DE SAN MIGUEL</t>
  </si>
  <si>
    <t>LIBRES</t>
  </si>
  <si>
    <t>PUEBLA</t>
  </si>
  <si>
    <t>PUE0004119    E</t>
  </si>
  <si>
    <t>AYALA OSUNA ROSARIO</t>
  </si>
  <si>
    <t>AAOR640417HSLYSS04</t>
  </si>
  <si>
    <t>668 813 3735</t>
  </si>
  <si>
    <t>SANTA YOLANDA No. 2228 PTE</t>
  </si>
  <si>
    <t>FRACC. SAN JOSE LOS MOCHIS</t>
  </si>
  <si>
    <t>AHOME</t>
  </si>
  <si>
    <t>SINALOA</t>
  </si>
  <si>
    <t>SIN101901    E</t>
  </si>
  <si>
    <t>BLANCAS RAMIREZ DAVID</t>
  </si>
  <si>
    <t>BARD680708HSRLMV06</t>
  </si>
  <si>
    <t>045 644 15 76 229</t>
  </si>
  <si>
    <t>AOAHUILA No. 1029</t>
  </si>
  <si>
    <t>FRACC. VILLA BONITA</t>
  </si>
  <si>
    <t>NOGALES</t>
  </si>
  <si>
    <t>SONORA</t>
  </si>
  <si>
    <t>BUSTOS TAPIA JOSE ANDRES</t>
  </si>
  <si>
    <t>BUTA610204HDFSPN05</t>
  </si>
  <si>
    <t>2646 2934</t>
  </si>
  <si>
    <t>VENADOS MZ-3 LT-10</t>
  </si>
  <si>
    <t>POLIGONO 3</t>
  </si>
  <si>
    <t>ECATEPEC</t>
  </si>
  <si>
    <t>VER0120890   E</t>
  </si>
  <si>
    <t>CARBAJAL TORRES EDMUNDO</t>
  </si>
  <si>
    <t>CATE610704HCHRRD01</t>
  </si>
  <si>
    <t>614 421 4501</t>
  </si>
  <si>
    <t>CIUDAD CAMARGO No. 168</t>
  </si>
  <si>
    <t>REVOLUCION</t>
  </si>
  <si>
    <t>CHIH101196    B-E</t>
  </si>
  <si>
    <t>CARRILLO ALVAREZ GERARDO</t>
  </si>
  <si>
    <t>CAAG660709HDGRLR03</t>
  </si>
  <si>
    <t>045 618 147 8131</t>
  </si>
  <si>
    <t>PRIVADA DE LOS TULIPANES No. 26082-90</t>
  </si>
  <si>
    <t>FRACCIONAMIENTO EL REFUGIO</t>
  </si>
  <si>
    <t>TIJUANA</t>
  </si>
  <si>
    <t>BAJA CALIFORNIA</t>
  </si>
  <si>
    <t xml:space="preserve">CARRILLO CASTRO OSCAR  </t>
  </si>
  <si>
    <t>CXCO690203HSRRSS09</t>
  </si>
  <si>
    <t>REYES DE INGLATERRA, NÂº 714</t>
  </si>
  <si>
    <t>VILLA DEL REY</t>
  </si>
  <si>
    <t>CD. OBREGON</t>
  </si>
  <si>
    <t>CASARRUBIAS DIAZ JOSE MANUEL</t>
  </si>
  <si>
    <t>CADM710317HGRSZN13</t>
  </si>
  <si>
    <t>01744 405 0975</t>
  </si>
  <si>
    <t>JUAN \"N\" ALVAREZ NO. 164</t>
  </si>
  <si>
    <t>VICENTE GUERRERO</t>
  </si>
  <si>
    <t>ACAPULCO</t>
  </si>
  <si>
    <t>GUERRERO</t>
  </si>
  <si>
    <t>GRO03509    B E</t>
  </si>
  <si>
    <t>CASAS HERNANDEZ IGNACIO</t>
  </si>
  <si>
    <t>CAHI720505HHGSRG02</t>
  </si>
  <si>
    <t>SANTA JULIA MZ-53 LT-3</t>
  </si>
  <si>
    <t>FRACC. LA PROVIDENCIA</t>
  </si>
  <si>
    <t>MINERAL DE LA REFORMA</t>
  </si>
  <si>
    <t>TAMP303753   B-E</t>
  </si>
  <si>
    <t>CASAS HERNANDEZ JUAN GABRIEL</t>
  </si>
  <si>
    <t>cleon</t>
  </si>
  <si>
    <t>CAHJ760116HHGSRN09</t>
  </si>
  <si>
    <t>UNION LIBRE</t>
  </si>
  <si>
    <t>922 1612 334</t>
  </si>
  <si>
    <t>JOSE TORRES ALOR NO. 9</t>
  </si>
  <si>
    <t>5 DE MAYO LA VENTA</t>
  </si>
  <si>
    <t>HUIMANGUILLO</t>
  </si>
  <si>
    <t>TAMP304317    B-E</t>
  </si>
  <si>
    <t>CASAS HERNANDEZ REYES</t>
  </si>
  <si>
    <t>CAHR830106HHGSRY03</t>
  </si>
  <si>
    <t>771 791 3101</t>
  </si>
  <si>
    <t>COL. PROVIDENCIA</t>
  </si>
  <si>
    <t>VER131153    B-E</t>
  </si>
  <si>
    <t>CASTILLO TREVIZO JULIO CESAR</t>
  </si>
  <si>
    <t>CATJ870314HCHSRL05</t>
  </si>
  <si>
    <t>PASEO DE LA PRESA NO. 15516</t>
  </si>
  <si>
    <t>PASEO DE CHIHUHUA</t>
  </si>
  <si>
    <t>CAZARES VIVAR MARCELO</t>
  </si>
  <si>
    <t>CAVM650107HPLZVR03</t>
  </si>
  <si>
    <t>BORRASCA MZ-340 LT-3123</t>
  </si>
  <si>
    <t>LAZARO CARDENAS</t>
  </si>
  <si>
    <t>MEXICO</t>
  </si>
  <si>
    <t>DF00113186   E</t>
  </si>
  <si>
    <t>CEDILLO VIOLANTE JUAN</t>
  </si>
  <si>
    <t>CEVJ590105HMSDLN04</t>
  </si>
  <si>
    <t>5 DE MAYO NO. 4</t>
  </si>
  <si>
    <t>IGNACIO ZARAGOZA</t>
  </si>
  <si>
    <t>CUAUTLA</t>
  </si>
  <si>
    <t>MORELOS</t>
  </si>
  <si>
    <t>MOR01308   E</t>
  </si>
  <si>
    <t>CHAVEZ REY SALVADOR</t>
  </si>
  <si>
    <t>CARS650603HCHHYL09</t>
  </si>
  <si>
    <t>ALEJANDRO RAMIREZ No. 9524</t>
  </si>
  <si>
    <t>NUEVO INFONAVIT JUAREZ</t>
  </si>
  <si>
    <t>CHAVEZ ROBLES RICARDO</t>
  </si>
  <si>
    <t>CARR700827HDFHBC05</t>
  </si>
  <si>
    <t>GLORIETA DE ETIOPIA MZ-556 LT-24</t>
  </si>
  <si>
    <t>LA GLORIETA</t>
  </si>
  <si>
    <t>ECATEPEC DE MORELOS</t>
  </si>
  <si>
    <t>DF00214658   E</t>
  </si>
  <si>
    <t>COTA LERMA RAMON ARTURO</t>
  </si>
  <si>
    <t>COLR580114HSRTRM07</t>
  </si>
  <si>
    <t>PRIVADA RUISEÃ‘ORES No. 6196 INT. 16</t>
  </si>
  <si>
    <t>JARDINES DE AGUA CALIENTE</t>
  </si>
  <si>
    <t>SON0005892</t>
  </si>
  <si>
    <t>CRUZ  MIRELES MAURICIO</t>
  </si>
  <si>
    <t>CUMM740221HDFRRR01</t>
  </si>
  <si>
    <t>HERIBERTO JARA MZA 5, LT 2</t>
  </si>
  <si>
    <t>AMPLIACION TECAMACHALCO</t>
  </si>
  <si>
    <t>LOS REYES, LA PAZ</t>
  </si>
  <si>
    <t>DIAZ MARTINEZ JUAN ALEJANDRO</t>
  </si>
  <si>
    <t>DIMJ660424HCHZRN08</t>
  </si>
  <si>
    <t>PRIVADA DE ITUGARRAY No. 7630</t>
  </si>
  <si>
    <t>VIRREYES</t>
  </si>
  <si>
    <t>ESPINOZA GONZALEZ JOSE GONZALO</t>
  </si>
  <si>
    <t>EIGG550909HPLSNN01</t>
  </si>
  <si>
    <t>****</t>
  </si>
  <si>
    <t>CTO. OBREROS INDEPENDIENTES SUR NO. 2164</t>
  </si>
  <si>
    <t>U. HAB. VOLKSWAGEN SUR</t>
  </si>
  <si>
    <t>GALVAN NAVARRO FELIX PATRICIO</t>
  </si>
  <si>
    <t>GANF7803044Z3</t>
  </si>
  <si>
    <t>GANF780304HJCLVL01</t>
  </si>
  <si>
    <t>PRIVADA ISABEL LA CATOLICA NO. 102</t>
  </si>
  <si>
    <t>CENTRO</t>
  </si>
  <si>
    <t>ENCARNACION DE DIAZ</t>
  </si>
  <si>
    <t>GARCIA CASAS MARTIN</t>
  </si>
  <si>
    <t>GACM671216HVZRSR01</t>
  </si>
  <si>
    <t>GIRASOLES LT 13 MZA 5, FRACC. RESID. DEL SUR</t>
  </si>
  <si>
    <t>SAN JUAN BAUTISTA TUXTEPEC</t>
  </si>
  <si>
    <t>OAXACA</t>
  </si>
  <si>
    <t>GARCIA FAVELA RICARDO ALEJANDRO</t>
  </si>
  <si>
    <t>GAFR760903AA1</t>
  </si>
  <si>
    <t>GAFR760903HCLRVC00</t>
  </si>
  <si>
    <t>FRANCISCO DE ZURBARAN NO. 8836</t>
  </si>
  <si>
    <t>PARAJES DEL SOL</t>
  </si>
  <si>
    <t>JUAREZ</t>
  </si>
  <si>
    <t>GARCIA ROBLES RODRIGO</t>
  </si>
  <si>
    <t>GARR900807HBCRBD09</t>
  </si>
  <si>
    <t>01664 3875 886</t>
  </si>
  <si>
    <t>PRIVADA PIEDRAS NEGRAS No. 10</t>
  </si>
  <si>
    <t>RESIDENCIAL EL DORADO</t>
  </si>
  <si>
    <t>BCS0004349   E-B</t>
  </si>
  <si>
    <t>GOMEZ OROZCO RAYMUNDO</t>
  </si>
  <si>
    <t>GOOR680206HJCMRY05</t>
  </si>
  <si>
    <t>644 111 7905</t>
  </si>
  <si>
    <t>RAMON GUZMAN No. 544</t>
  </si>
  <si>
    <t>LUIS ECHEVERRIA</t>
  </si>
  <si>
    <t>CAJEME</t>
  </si>
  <si>
    <t>SIN100582    B-E</t>
  </si>
  <si>
    <t>GONZALEZ CHAVEZ ISIDRO</t>
  </si>
  <si>
    <t>GOCI710515HCHNHS02</t>
  </si>
  <si>
    <t>PATEOSINIO ESPINO NO. 219</t>
  </si>
  <si>
    <t>KILOMETRO 20</t>
  </si>
  <si>
    <t>GUERRERO OCHOA VICTOR</t>
  </si>
  <si>
    <t>GUOV661223HMSRCC04</t>
  </si>
  <si>
    <t>EMILIANO ZAPATA S/N</t>
  </si>
  <si>
    <t>TETILLAS</t>
  </si>
  <si>
    <t>YAUTEPEC</t>
  </si>
  <si>
    <t>MOR0005121   E</t>
  </si>
  <si>
    <t>GUTIERREZ CRUZ JESUS REFUGIO</t>
  </si>
  <si>
    <t>GUCJ850808HJCTRS01</t>
  </si>
  <si>
    <t>SAN JOSE NO. 28</t>
  </si>
  <si>
    <t>LAS JUNTAS</t>
  </si>
  <si>
    <t>GUTIERREZ ELIZALDE MANUEL</t>
  </si>
  <si>
    <t>GUEM570310HDFTLN07</t>
  </si>
  <si>
    <t>773 141 4488</t>
  </si>
  <si>
    <t>CERRADA SIN NOMBRE NO. 10</t>
  </si>
  <si>
    <t>SAN MIGUEL OTLICA</t>
  </si>
  <si>
    <t>TULTEPEC</t>
  </si>
  <si>
    <t>TAMP302711    E</t>
  </si>
  <si>
    <t>HERNANDEZ BAUTISTA JERMAN</t>
  </si>
  <si>
    <t>HEBJ810118HGRRTR07</t>
  </si>
  <si>
    <t>VICENTE GUERRERO S/N</t>
  </si>
  <si>
    <t>LOS CAJELITOS</t>
  </si>
  <si>
    <t>CHILPANCINGO DE LOS BRAVOS</t>
  </si>
  <si>
    <t>HERNANDEZ ULLOA ROBERTO CARLOS</t>
  </si>
  <si>
    <t>HEUR890902HHGRLB06</t>
  </si>
  <si>
    <t>4619 7753</t>
  </si>
  <si>
    <t>AV. LEGISLATURA S/N</t>
  </si>
  <si>
    <t>SAN MIGUEL JAGÃœEYES</t>
  </si>
  <si>
    <t>HUEHUETOCA</t>
  </si>
  <si>
    <t>DF00156413    B-E</t>
  </si>
  <si>
    <t>HERRERA ANDAZOLA ARNULFO</t>
  </si>
  <si>
    <t>HEAA500507HCHRNR00</t>
  </si>
  <si>
    <t>CHOFERES No. 9013</t>
  </si>
  <si>
    <t>2 DE JUNIO</t>
  </si>
  <si>
    <t>JIMENEZ CASTILLO MARGARITO</t>
  </si>
  <si>
    <t>JICM670126HHGMSR09</t>
  </si>
  <si>
    <t>01599 9482116</t>
  </si>
  <si>
    <t>CANAL ARTICULO 27</t>
  </si>
  <si>
    <t>EL REFUGIO</t>
  </si>
  <si>
    <t>ATOTONILCO DE TULA</t>
  </si>
  <si>
    <t>DF118520    B-E</t>
  </si>
  <si>
    <t>LINALDI MARTINEZ ENRIQUE</t>
  </si>
  <si>
    <t>LIME650302HOCNRN05</t>
  </si>
  <si>
    <t>AV. MANUEL AVILA CAMACHO No. 187</t>
  </si>
  <si>
    <t>SAN ANTONIO ENCINAL</t>
  </si>
  <si>
    <t>TUXTEPEC</t>
  </si>
  <si>
    <t>LINALDI MARTINEZ JUAN JOSE</t>
  </si>
  <si>
    <t>LIMJ700519HOCNRN06</t>
  </si>
  <si>
    <t>01287 87 16 387</t>
  </si>
  <si>
    <t>EMILIANO ZAPATA No. 115</t>
  </si>
  <si>
    <t>SAN ANTONIO EL ENCINAL</t>
  </si>
  <si>
    <t>LINALDI MARTINEZ MARIANO</t>
  </si>
  <si>
    <t>LIMM660909HOCNRR08</t>
  </si>
  <si>
    <t>PRIV. RINCON DE LOS TULIPANES NO. 31 LT-32</t>
  </si>
  <si>
    <t>CALPULALPAN</t>
  </si>
  <si>
    <t>TLAXCALA</t>
  </si>
  <si>
    <t>VER106170    B-E</t>
  </si>
  <si>
    <t>LOYA NEVAREZ JORGE ALBERTO</t>
  </si>
  <si>
    <t>LONJ650202HCHYVR06</t>
  </si>
  <si>
    <t>656 5631537</t>
  </si>
  <si>
    <t>GUADALUPE BENITEZ No. 6951</t>
  </si>
  <si>
    <t>INFONAVIT JAUREZ NUEVO</t>
  </si>
  <si>
    <t>CHIH103556    E</t>
  </si>
  <si>
    <t>MALDONADO GARCIA EDUARDO</t>
  </si>
  <si>
    <t>MAGE730915HDFLRD04</t>
  </si>
  <si>
    <t>ALCATRACES DE KALO NO. 10-A</t>
  </si>
  <si>
    <t>LOS ALCATRACES</t>
  </si>
  <si>
    <t>DF00156365   B-E</t>
  </si>
  <si>
    <t>MARTINEZ CANO JOSE ENRIQUE</t>
  </si>
  <si>
    <t>MACE630715HDFRNN09</t>
  </si>
  <si>
    <t>50-48-67-78</t>
  </si>
  <si>
    <t>CERRO DEL TEPEYAC MZ-15 LT-38 CASA 2</t>
  </si>
  <si>
    <t>LOMAS DE COACALCO</t>
  </si>
  <si>
    <t>COACALCO</t>
  </si>
  <si>
    <t>DF00103406    B-E</t>
  </si>
  <si>
    <t>MARTINEZ QUINTANA JORGE</t>
  </si>
  <si>
    <t>MAQJ740404HMCRNR09</t>
  </si>
  <si>
    <t>CDA. DE LAS MANZANAS LT-9</t>
  </si>
  <si>
    <t>JARDINES DE SANTA INES</t>
  </si>
  <si>
    <t>TEXCOCO</t>
  </si>
  <si>
    <t>MARTINEZ RAMIREZ JOSE OSCAR ISMAEL</t>
  </si>
  <si>
    <t>MARO751228HCHRMS05</t>
  </si>
  <si>
    <t>045 65 6193 5526</t>
  </si>
  <si>
    <t>FRANCISCO MAYORAL No. 3114</t>
  </si>
  <si>
    <t>INFONAVIT CASAS GRANDES</t>
  </si>
  <si>
    <t>CHIH202695    B-E</t>
  </si>
  <si>
    <t>MARTINEZ TORRES HERIBERTO</t>
  </si>
  <si>
    <t>MATH720626IZ7</t>
  </si>
  <si>
    <t>MATH720626HDFRRR02</t>
  </si>
  <si>
    <t>PRIV RIO CLARO S/N</t>
  </si>
  <si>
    <t>BO. SALITRILLO</t>
  </si>
  <si>
    <t>DF00231236    E</t>
  </si>
  <si>
    <t>MAYORQUIN ROCHA FRANCISCO JAVIER</t>
  </si>
  <si>
    <t>MARF771107HSLYCR04</t>
  </si>
  <si>
    <t>999 748 0666</t>
  </si>
  <si>
    <t>CALLE 60 A NO. 641 X 75 Y 7</t>
  </si>
  <si>
    <t>FRACC. SANTA ISABEL</t>
  </si>
  <si>
    <t>KANASIN</t>
  </si>
  <si>
    <t>YUCATAN</t>
  </si>
  <si>
    <t>CAMP01059    B-E</t>
  </si>
  <si>
    <t>MEDRANO HERNANDEZ JESUS MANUEL</t>
  </si>
  <si>
    <t>MEHJ750224HCHDRS02</t>
  </si>
  <si>
    <t>ARTURO GOMEZ No. 252</t>
  </si>
  <si>
    <t>VILLA NUEVA</t>
  </si>
  <si>
    <t>MEZA TOLEDO LUIS EDUARDO</t>
  </si>
  <si>
    <t>METL760605HOCZLS00</t>
  </si>
  <si>
    <t>LOMAS DE LAS MARIPOSAS 38</t>
  </si>
  <si>
    <t>FRACC. LOMAS ALTAS</t>
  </si>
  <si>
    <t>VER0116351</t>
  </si>
  <si>
    <t>MIRANDA ARMENTA MANUEL REMBERTO</t>
  </si>
  <si>
    <t>MIAM750416HSRRRN09</t>
  </si>
  <si>
    <t>PIRUL No. 22 DEPTO. 302</t>
  </si>
  <si>
    <t>JARDINES DEL BOSQUE</t>
  </si>
  <si>
    <t>MOJARRO GONZALEZ J GUADALUPE</t>
  </si>
  <si>
    <t>MOGG561212HNTJND00</t>
  </si>
  <si>
    <t>PIÃ‘A No. 24830</t>
  </si>
  <si>
    <t>FLORIDA 2a SECCION</t>
  </si>
  <si>
    <t>BAJA CALIFORNIA NORTE</t>
  </si>
  <si>
    <t>MONDACA FELIX JOSE ALFREDO</t>
  </si>
  <si>
    <t>MOFA661228HSLNLL04</t>
  </si>
  <si>
    <t>668 862 5268</t>
  </si>
  <si>
    <t>CERRO DE LA SILLA NO. 2223</t>
  </si>
  <si>
    <t>VILLAS DE MOMTERREY</t>
  </si>
  <si>
    <t>GUASAVE</t>
  </si>
  <si>
    <t>SIN103391   E</t>
  </si>
  <si>
    <t>MORALES DE JESUS ARTURO</t>
  </si>
  <si>
    <t>MOJA750702HVZRSR01</t>
  </si>
  <si>
    <t>CUAUTEMOC NÂº1</t>
  </si>
  <si>
    <t>EMANCIPACIÃ’N OBRERA</t>
  </si>
  <si>
    <t>HUILOAPAN DE CUAUHTEMOC</t>
  </si>
  <si>
    <t>MORALES MONTOYA GERARDO</t>
  </si>
  <si>
    <t>MOMG730130HDFRNR06</t>
  </si>
  <si>
    <t>ALFREDO B. BONFIL MZ-25 LT-34</t>
  </si>
  <si>
    <t>DR. JORGE JIMENEZ CANTU</t>
  </si>
  <si>
    <t>IXTAPALUCA</t>
  </si>
  <si>
    <t>SLP06001  B-E</t>
  </si>
  <si>
    <t>MORALES RENDON JAVIER</t>
  </si>
  <si>
    <t>MORJ650505HQTRNV04</t>
  </si>
  <si>
    <t>045 488 119 1542</t>
  </si>
  <si>
    <t>TLAZCAN No. 9</t>
  </si>
  <si>
    <t>FRACCIONAMIENTO</t>
  </si>
  <si>
    <t>MUÃ‘OZ HERNANDEZ ALBERTO</t>
  </si>
  <si>
    <t>MUHA620408HTLXRL02</t>
  </si>
  <si>
    <t>01241 49640 78</t>
  </si>
  <si>
    <t>20 DE NOVIEMBRE NO. 21</t>
  </si>
  <si>
    <t>LAGUNILLA</t>
  </si>
  <si>
    <t>TLAXCO</t>
  </si>
  <si>
    <t>TLAX001473    B-E</t>
  </si>
  <si>
    <t>NAVARRO MORA SERGIO ALEJANDRO</t>
  </si>
  <si>
    <t>NAMS631015HDFVRR06</t>
  </si>
  <si>
    <t>55 4020 6710</t>
  </si>
  <si>
    <t>AILE NO. 24</t>
  </si>
  <si>
    <t>U. HAB. ARBOLADA LOS SAUCES</t>
  </si>
  <si>
    <t>DF00215913    E</t>
  </si>
  <si>
    <t>NIETO GONZALEZ VICENTE</t>
  </si>
  <si>
    <t>NIGV640312HMCTNC07</t>
  </si>
  <si>
    <t>ESTADO DE MORELOS NO. 94</t>
  </si>
  <si>
    <t>LA PROVINCIANA</t>
  </si>
  <si>
    <t>CUERNAVACA</t>
  </si>
  <si>
    <t>MOR0000446   B-E</t>
  </si>
  <si>
    <t>OLEA GUTIERREZ JESUS EDEM</t>
  </si>
  <si>
    <t>OEGJ810626HMSLTS00</t>
  </si>
  <si>
    <t>PRIVADA MARSELLA NÂº 7205</t>
  </si>
  <si>
    <t>RESIDENCIAL AGUA CALIENTE</t>
  </si>
  <si>
    <t>MOR0009673</t>
  </si>
  <si>
    <t>ORTEGA GONZALEZ RAUL FERNANDO</t>
  </si>
  <si>
    <t>OEGR661218HCHRNL01</t>
  </si>
  <si>
    <t>656 2452969</t>
  </si>
  <si>
    <t>NAMBIA No. 7638</t>
  </si>
  <si>
    <t>CAMPESTRE VIRREYES</t>
  </si>
  <si>
    <t>CHIH201787    B-E</t>
  </si>
  <si>
    <t>ORTIZ TRIGUEROS IGNACIO</t>
  </si>
  <si>
    <t>OITI640708HDFRRG02</t>
  </si>
  <si>
    <t>5306 1454</t>
  </si>
  <si>
    <t>2a. CDA. DE JACARANDAS MZ-4 LT-2</t>
  </si>
  <si>
    <t>FORESTAL LAURELES</t>
  </si>
  <si>
    <t>GUSTAVO A. MADERO</t>
  </si>
  <si>
    <t>DISTRITO FEDERAL</t>
  </si>
  <si>
    <t>PARRA MIRAMONTES GUADALUPE</t>
  </si>
  <si>
    <t>PAMG620830HCHRRD09</t>
  </si>
  <si>
    <t>656 161 7980</t>
  </si>
  <si>
    <t>PINGÃœICA No. 5596</t>
  </si>
  <si>
    <t>INF. AMPLIACION AUROPUERTO</t>
  </si>
  <si>
    <t>PEREZ MENDEZ JOSE GUADALUPE</t>
  </si>
  <si>
    <t>PEMG630511HCHRND02</t>
  </si>
  <si>
    <t>SAUCILLO No. 6218</t>
  </si>
  <si>
    <t>NUEVO HIPODROMO</t>
  </si>
  <si>
    <t>QUINTANA ESCOBAR PEDRO</t>
  </si>
  <si>
    <t>QUEP811116HMCNSD09</t>
  </si>
  <si>
    <t>BENITO JUAREZ No. 19</t>
  </si>
  <si>
    <t>SAN JOAQUIN COAPANGO</t>
  </si>
  <si>
    <t>RAMIREZ QUINTANA JOSE IVAN</t>
  </si>
  <si>
    <t>RAQI810921HDFMNV06</t>
  </si>
  <si>
    <t>01595 232052</t>
  </si>
  <si>
    <t>MORELOS No. 16</t>
  </si>
  <si>
    <t>SAN JOAQUIN</t>
  </si>
  <si>
    <t>RICOY VERA ALVARO</t>
  </si>
  <si>
    <t>RIVA690611HOCCRL04</t>
  </si>
  <si>
    <t>8283-2552</t>
  </si>
  <si>
    <t>AV. NECAXA No. 29</t>
  </si>
  <si>
    <t>COL. DIVISION DEL NORTE</t>
  </si>
  <si>
    <t>RIOS MONTALVO GABRIEL</t>
  </si>
  <si>
    <t>RIMG860817HJCSNB06</t>
  </si>
  <si>
    <t>14911315   04433 14021208</t>
  </si>
  <si>
    <t>VICTORIANO NUÃ‘EZ No. 53</t>
  </si>
  <si>
    <t>VICTOR HUGO</t>
  </si>
  <si>
    <t>GUADALAJARA</t>
  </si>
  <si>
    <t>RIOS SALINAS RAUL</t>
  </si>
  <si>
    <t>RISR450218HCHSLL07</t>
  </si>
  <si>
    <t>AV. INDUSTRIAL No. 24</t>
  </si>
  <si>
    <t>EJIDAL</t>
  </si>
  <si>
    <t>AGUA PRIETA</t>
  </si>
  <si>
    <t>RIVERA LOPEZ JUAN</t>
  </si>
  <si>
    <t>RILJ620508HVZVPN03</t>
  </si>
  <si>
    <t>ANDADOR 15 DE NOVIEMBRE No. 11</t>
  </si>
  <si>
    <t>13 DE JUNIO</t>
  </si>
  <si>
    <t>VER117238</t>
  </si>
  <si>
    <t>RODRIGUEZ SOTELO UBALDO</t>
  </si>
  <si>
    <t>ROSU600604HCHDTB06</t>
  </si>
  <si>
    <t>614 258 5848</t>
  </si>
  <si>
    <t>PASEOS DE BOCOYNA NO. 15706</t>
  </si>
  <si>
    <t>PASEOS DE CHIHUAHUA</t>
  </si>
  <si>
    <t>CHIH104747    E</t>
  </si>
  <si>
    <t>ROJAS RAMOS LINO BENJAMIN</t>
  </si>
  <si>
    <t>RORL560923HPLJMN08</t>
  </si>
  <si>
    <t>55 3308 9888</t>
  </si>
  <si>
    <t>GAVIOTAS MZ-23 LT-18</t>
  </si>
  <si>
    <t>FRACC. ZUMPANGO</t>
  </si>
  <si>
    <t>EDOM09359    E</t>
  </si>
  <si>
    <t>RONQUILLO OCHOA GUSTAVO</t>
  </si>
  <si>
    <t>ROOG690918HVZNCS03</t>
  </si>
  <si>
    <t>PROLONGACION JUAREZ NO.36</t>
  </si>
  <si>
    <t>ALFONSO ESPEJEL</t>
  </si>
  <si>
    <t>ROSAS CRUZ GERMAN</t>
  </si>
  <si>
    <t>ROCG760528HVZSRR09</t>
  </si>
  <si>
    <t>SARDINA 32 LT. 11, MZA.19</t>
  </si>
  <si>
    <t>FRACC. PUERTO ESMERALDA</t>
  </si>
  <si>
    <t>COATZACOALCOS</t>
  </si>
  <si>
    <t>VER123019 E</t>
  </si>
  <si>
    <t>ROSAS DE JESUS JOSE LUIS</t>
  </si>
  <si>
    <t>ROJL640116HDFSSS06</t>
  </si>
  <si>
    <t>5774 5723</t>
  </si>
  <si>
    <t>BOULEVARD POSHTECAS MZ-45 LT-26</t>
  </si>
  <si>
    <t>LA FLORIDA DE CIUDAD AZTECA</t>
  </si>
  <si>
    <t>DF209599    E</t>
  </si>
  <si>
    <t>ROSAS PAREDES ROBERTO CARLOS</t>
  </si>
  <si>
    <t>ROPR731124HDFSRB02</t>
  </si>
  <si>
    <t>PRIVADA ALAMOS 10721, 11B</t>
  </si>
  <si>
    <t>FRACC. PASEOS DEL VERGUEL</t>
  </si>
  <si>
    <t>SANCHEZ PORTILLO JUAN GABRIEL</t>
  </si>
  <si>
    <t>SAPJ741125HVZNRX04</t>
  </si>
  <si>
    <t>LAZARO CARDENAS MZ-13 LT-10</t>
  </si>
  <si>
    <t>POPULAR</t>
  </si>
  <si>
    <t>DF00231484   E</t>
  </si>
  <si>
    <t>SANCHEZ SANCHEZ ABRAHAM</t>
  </si>
  <si>
    <t>SASA720627HDFNNB04</t>
  </si>
  <si>
    <t>FERNANDO DAVILA NO. 4</t>
  </si>
  <si>
    <t>NOPALTEPEC</t>
  </si>
  <si>
    <t>DF00135426   E</t>
  </si>
  <si>
    <t>SANTOS MATIAS JUSTO</t>
  </si>
  <si>
    <t>SAMJ720528HOCNTS05</t>
  </si>
  <si>
    <t>PASEO DE LOS SANTOS No. 220-1</t>
  </si>
  <si>
    <t>LAS LILAS</t>
  </si>
  <si>
    <t>TREJO AGUILAR EDUARDO</t>
  </si>
  <si>
    <t>TEAE630412HHGRGD03</t>
  </si>
  <si>
    <t>01 773 113 65 65</t>
  </si>
  <si>
    <t>CUITLAHUAC NO. 3</t>
  </si>
  <si>
    <t>SANTIAGO TLAPANALOYA</t>
  </si>
  <si>
    <t>TEPEJI DEL RIO</t>
  </si>
  <si>
    <t>DF00156088   E</t>
  </si>
  <si>
    <t>VELAZQUEZ DE LUNA JOSE DAVID</t>
  </si>
  <si>
    <t>VELD780814HJCLNV05</t>
  </si>
  <si>
    <t>1507 6808</t>
  </si>
  <si>
    <t>LOMA BLANCA ORIENTE NO. 218</t>
  </si>
  <si>
    <t>LOMAS DE SAN AGUSTIN</t>
  </si>
  <si>
    <t>TLAJOMULCO DE ZUÃ‘IGA</t>
  </si>
  <si>
    <t>JAL0030123    B-E</t>
  </si>
  <si>
    <t>VIRUEGA BALDOMERO EDGAR ENRIQUE</t>
  </si>
  <si>
    <t>VIBE730711HDFRLD09</t>
  </si>
  <si>
    <t>55 3694 7894</t>
  </si>
  <si>
    <t>ROBLEDO NO. 93</t>
  </si>
  <si>
    <t>FRACC. URBI VILLA DEL REY</t>
  </si>
  <si>
    <t>DF00224509    B E</t>
  </si>
  <si>
    <t>JUAN MANUEL MORENO CASTRO</t>
  </si>
  <si>
    <t>LYSLAP07</t>
  </si>
  <si>
    <t>1882-01-13</t>
  </si>
  <si>
    <t>MOCJ820113L58</t>
  </si>
  <si>
    <t>MOCJ820113HBCRSN06</t>
  </si>
  <si>
    <t>HAITIANOS #8169 INT 2D</t>
  </si>
  <si>
    <t>INF. CACHANILLA</t>
  </si>
  <si>
    <t>B-E FEDERAL</t>
  </si>
  <si>
    <t>DORANTES GARCIA RAMIRO</t>
  </si>
  <si>
    <t>DOGR560314HGRRRM04</t>
  </si>
  <si>
    <t>747 1276 337</t>
  </si>
  <si>
    <t>CARRETERA NACIONAL MEXICO-ACAPULCO S/N</t>
  </si>
  <si>
    <t>GRO0002200</t>
  </si>
  <si>
    <t>SPINDOLA BLANCO DAVID ROMAN</t>
  </si>
  <si>
    <t>SIBD730609</t>
  </si>
  <si>
    <t>SIBD730609HDFPLV00</t>
  </si>
  <si>
    <t>ALFONSO HERRERA #49</t>
  </si>
  <si>
    <t>IZTAPALAPA</t>
  </si>
  <si>
    <t>DF00149147   B E</t>
  </si>
  <si>
    <t>SANCHEZ HERNANDEZ HECTOR ESTEBAN</t>
  </si>
  <si>
    <t>SAHH820831HZSNRC01</t>
  </si>
  <si>
    <t>BUGAMBILIAS NÂº 114</t>
  </si>
  <si>
    <t>LAS MARGARITAS</t>
  </si>
  <si>
    <t>ABASOLO</t>
  </si>
  <si>
    <t>GUANAJUATO</t>
  </si>
  <si>
    <t>MARTINEZ RODRIGUEZ RAMIRO</t>
  </si>
  <si>
    <t>MARR680927HJCRDM07</t>
  </si>
  <si>
    <t>SIXTO VERDUGO NÂº 848</t>
  </si>
  <si>
    <t>FRACCIONAMIENTO EMILIANO ZAPATA</t>
  </si>
  <si>
    <t>AGUASCALIENTES</t>
  </si>
  <si>
    <t>AGUASTALIENTES</t>
  </si>
  <si>
    <t>AGS0004072</t>
  </si>
  <si>
    <t>CASTAÃ‘EDA  DE LA ROSA JAIME</t>
  </si>
  <si>
    <t>CARJ631123HGTSSM03</t>
  </si>
  <si>
    <t>TZIPEKUA NÂº 2</t>
  </si>
  <si>
    <t>IINF. QUIRINDAVARA</t>
  </si>
  <si>
    <t>URUAPAN</t>
  </si>
  <si>
    <t>MICHOACAN</t>
  </si>
  <si>
    <t>MICH103227</t>
  </si>
  <si>
    <t>HERNANDEZ DÃŒAZ MIGUEL ANGEL</t>
  </si>
  <si>
    <t>HEDM720801HRRRZG09</t>
  </si>
  <si>
    <t>CALLE ROSAS NÂº 12</t>
  </si>
  <si>
    <t>FRACCIONAMIENTO RINCONADA</t>
  </si>
  <si>
    <t>AMOZOC</t>
  </si>
  <si>
    <t>NO APLICA</t>
  </si>
  <si>
    <t>VELEZ URSUEGUIA ALEJANDRO</t>
  </si>
  <si>
    <t>VEUA711019HPLLRL10</t>
  </si>
  <si>
    <t>222 288 8697</t>
  </si>
  <si>
    <t>CALLE 11 J, 18-2, CASA HOGAR</t>
  </si>
  <si>
    <t>BOSQUES DE SAN SEBASTIAN</t>
  </si>
  <si>
    <t>AMALUCAN</t>
  </si>
  <si>
    <t>VER114383 E</t>
  </si>
  <si>
    <t>ESTRELLA LOPEZ CARLOS</t>
  </si>
  <si>
    <t>EELC730824HHGSPR09</t>
  </si>
  <si>
    <t>CHATCANI NÂº 1</t>
  </si>
  <si>
    <t>FRACCIONAMIENTO SAN JAVIER</t>
  </si>
  <si>
    <t>IXMIQUILPAN</t>
  </si>
  <si>
    <t>HGO04255 E</t>
  </si>
  <si>
    <t>GALLARDO CRUZ JULIAN</t>
  </si>
  <si>
    <t>admolina</t>
  </si>
  <si>
    <t>GACJ800507HGTLRL07</t>
  </si>
  <si>
    <t>045 429 1149270</t>
  </si>
  <si>
    <t>POTRERO DE BUENAVISTA NO. 131 C</t>
  </si>
  <si>
    <t>POTRERO DE LOS MARTINEZ</t>
  </si>
  <si>
    <t>JAL0017425 E</t>
  </si>
  <si>
    <t>BEJARANO HERMIDA VICTOR MANUEL</t>
  </si>
  <si>
    <t>BEHV731230HVZJRC02</t>
  </si>
  <si>
    <t>045 429 1169684</t>
  </si>
  <si>
    <t>POTRERO DE LA TUNA MANZA NO. 113</t>
  </si>
  <si>
    <t>GTO0007463 E</t>
  </si>
  <si>
    <t>CASTILLO FLORES ROBERTO OSWALDO</t>
  </si>
  <si>
    <t>CAFR801208HJCSLB03</t>
  </si>
  <si>
    <t>SOLTERO</t>
  </si>
  <si>
    <t>045 341 1620123</t>
  </si>
  <si>
    <t>20 DE NOVIEMBRE 2 A</t>
  </si>
  <si>
    <t>16 DE SEPTIEMBRE</t>
  </si>
  <si>
    <t>CD. GUZMAN</t>
  </si>
  <si>
    <t>COL0112990 B-E</t>
  </si>
  <si>
    <t>MERINO VELEZ JESUS JAVIER</t>
  </si>
  <si>
    <t>MEVJ750106HDFRLS03</t>
  </si>
  <si>
    <t>045 222 8635988</t>
  </si>
  <si>
    <t>BLVD CENTRAL TAXQUEÃ‘A NO. 29</t>
  </si>
  <si>
    <t>FRACC. MISIONES DE SAN FRANCISCO</t>
  </si>
  <si>
    <t>CORONANGO</t>
  </si>
  <si>
    <t>PUE0008073 E</t>
  </si>
  <si>
    <t>ALVARADO CEBALLOS LUIS ARTURO</t>
  </si>
  <si>
    <t>AACL810603HNLLBZ03</t>
  </si>
  <si>
    <t>045 4621009303</t>
  </si>
  <si>
    <t>ADOLFO LOPEZ MATEOS NÂº 16</t>
  </si>
  <si>
    <t>EL SAUCILLO</t>
  </si>
  <si>
    <t>GTO0008730 -E</t>
  </si>
  <si>
    <t>CUEVAS CHAVEZ JOSE CRUZ</t>
  </si>
  <si>
    <t>CUCC760412HJCVHR04</t>
  </si>
  <si>
    <t>045 3311005551</t>
  </si>
  <si>
    <t>CIRCUITO VALLE DE LAS JACARANDAS NÂº 125, MZ 7, LT 5</t>
  </si>
  <si>
    <t>4 ESTACIONES</t>
  </si>
  <si>
    <t>JAL0016143</t>
  </si>
  <si>
    <t>DELGADO BERMUDEZ ROLANDO</t>
  </si>
  <si>
    <t>DEBR740826HGTLRL02</t>
  </si>
  <si>
    <t>ARTES NÂº 2625</t>
  </si>
  <si>
    <t>SAN ANDRES</t>
  </si>
  <si>
    <t>JAL0020396</t>
  </si>
  <si>
    <t>CERECERO TENORIO ISIDRO FABIAN</t>
  </si>
  <si>
    <t>CETI790515HGRRNS06</t>
  </si>
  <si>
    <t>CADADO</t>
  </si>
  <si>
    <t>LOS PINOS S/N</t>
  </si>
  <si>
    <t>PROGRESO</t>
  </si>
  <si>
    <t>GRO0004779</t>
  </si>
  <si>
    <t>LOPEZ GARCIA SANTOS</t>
  </si>
  <si>
    <t>LOGS711101HMCPRN00</t>
  </si>
  <si>
    <t>045 722 3361408</t>
  </si>
  <si>
    <t>LUIS DONALDO COLOSIO S/N</t>
  </si>
  <si>
    <t>SANTO DOMINGO DE GUZMAN</t>
  </si>
  <si>
    <t>IXTLAHUACA</t>
  </si>
  <si>
    <t>EDOM009760 E</t>
  </si>
  <si>
    <t>MARTINEZ JUAREZ ARMANDO</t>
  </si>
  <si>
    <t>MAJA741127HGTRRR00</t>
  </si>
  <si>
    <t>045 461 1523295</t>
  </si>
  <si>
    <t>CAMINO DE HERRADURA NO. 103 A</t>
  </si>
  <si>
    <t>EL CAMPANARIO</t>
  </si>
  <si>
    <t>CELAYA</t>
  </si>
  <si>
    <t>QRO09508 E</t>
  </si>
  <si>
    <t>MANZANAREZ ALDAY FERNANDO</t>
  </si>
  <si>
    <t>MAAF710411HGRNLR06</t>
  </si>
  <si>
    <t>C. 14, MZA. 23, LT 9</t>
  </si>
  <si>
    <t>LA POSTAL</t>
  </si>
  <si>
    <t>GROO4302-E</t>
  </si>
  <si>
    <t>MUÃ‘OZ GOMEZ LUCIO ARTURO</t>
  </si>
  <si>
    <t>jcordero</t>
  </si>
  <si>
    <t>MUGL7012155V2</t>
  </si>
  <si>
    <t>MUGL701215HDGXMC02</t>
  </si>
  <si>
    <t>CALLE 6 NUM.8006</t>
  </si>
  <si>
    <t>FRACCIONAMIENTO EL PIPILA</t>
  </si>
  <si>
    <t>NO</t>
  </si>
  <si>
    <t>VIGENTE</t>
  </si>
  <si>
    <t>NAVARRETE RUIZ AURELIO ERNESTO</t>
  </si>
  <si>
    <t>NARA7811075E7</t>
  </si>
  <si>
    <t>NARA781107HSRVZR05</t>
  </si>
  <si>
    <t>HACIENDA DEL ROSARIO 2321</t>
  </si>
  <si>
    <t>LAS HACIENDAS</t>
  </si>
  <si>
    <t>OBREGON</t>
  </si>
  <si>
    <t>SOTO ZARATE JESUS</t>
  </si>
  <si>
    <t>TRANSP-CONT</t>
  </si>
  <si>
    <t>SOZJ681203IU1</t>
  </si>
  <si>
    <t>SOZJ681203HSRTRS07</t>
  </si>
  <si>
    <t>EUCALIPTO 530</t>
  </si>
  <si>
    <t>CHAPULTEPEC</t>
  </si>
  <si>
    <t>CAJAME</t>
  </si>
  <si>
    <t>ACEVEDO CAMPOS RENE</t>
  </si>
  <si>
    <t>AECR760225P80</t>
  </si>
  <si>
    <t>AECR760225HVZCMN04</t>
  </si>
  <si>
    <t>272 1056072</t>
  </si>
  <si>
    <t>BLV. 8 DE ENERO NO. 22</t>
  </si>
  <si>
    <t>U.H. 27 DE SEMPTIEMBRE</t>
  </si>
  <si>
    <t>IXTACZOQUITLAN</t>
  </si>
  <si>
    <t>ALONSO PEÃ‘A ADOLFO GREGORIO</t>
  </si>
  <si>
    <t>AOPA801007JK3</t>
  </si>
  <si>
    <t>AOPA801007HDFLXD13</t>
  </si>
  <si>
    <t>CALLE HIGUERA MZ 13 LT 4</t>
  </si>
  <si>
    <t>EJIDO SAN CRISTOBAL</t>
  </si>
  <si>
    <t>ARCOS ESTRELLA JOSE MANUEL</t>
  </si>
  <si>
    <t>AOEM721213JZ8</t>
  </si>
  <si>
    <t>AOEM721213HDFRSN04</t>
  </si>
  <si>
    <t>55 14246077</t>
  </si>
  <si>
    <t>VASCONCELOS MZ 217, LT5</t>
  </si>
  <si>
    <t>DARIO MARTINEZ</t>
  </si>
  <si>
    <t>VALLE DE CHALCO</t>
  </si>
  <si>
    <t>ARIAS ROJAS FRANCISCO JAVIER</t>
  </si>
  <si>
    <t>AIRF8507289V9</t>
  </si>
  <si>
    <t>AIRF850728HGRRJR09</t>
  </si>
  <si>
    <t>753 1205341</t>
  </si>
  <si>
    <t>DORADO 27</t>
  </si>
  <si>
    <t>REAL HACIENDA</t>
  </si>
  <si>
    <t>AYALA RIVERO NOE</t>
  </si>
  <si>
    <t>AARN710203T22</t>
  </si>
  <si>
    <t>AARN710203HDFYVX05</t>
  </si>
  <si>
    <t>55 32367357</t>
  </si>
  <si>
    <t>CALLE ENCINO EDIF. B1 INT. 102</t>
  </si>
  <si>
    <t>U.H. LA ISLA</t>
  </si>
  <si>
    <t>TULTITLAN</t>
  </si>
  <si>
    <t>BARCENAS VELAZQUEZ ALBERTO</t>
  </si>
  <si>
    <t>BAVA760406GG3</t>
  </si>
  <si>
    <t>BAVA760406HGTRLL01</t>
  </si>
  <si>
    <t>55 33751015</t>
  </si>
  <si>
    <t>CAM A LA PRESA NO. 52</t>
  </si>
  <si>
    <t>SAN ISIDRO LA PAZ</t>
  </si>
  <si>
    <t>NICOLAS ROMERO</t>
  </si>
  <si>
    <t>BARRERA CORTEZ OSCAR</t>
  </si>
  <si>
    <t>BACO650903RA4</t>
  </si>
  <si>
    <t>BACO650903HVZRRS05</t>
  </si>
  <si>
    <t>288 1254315</t>
  </si>
  <si>
    <t>CORREGIDORA SUR NO. 405</t>
  </si>
  <si>
    <t>BARRIO DE LA CRUZ</t>
  </si>
  <si>
    <t>TRES VALLES</t>
  </si>
  <si>
    <t>CARMONA GIL FERNANDO</t>
  </si>
  <si>
    <t>CAGF720116972</t>
  </si>
  <si>
    <t>CAFG720116HCHRLR04</t>
  </si>
  <si>
    <t>55 23654336</t>
  </si>
  <si>
    <t>AV. CUAUHTEMOC NO. 37</t>
  </si>
  <si>
    <t>ZOQUIAPAN</t>
  </si>
  <si>
    <t>CIPRIANO MORALES FRANCISCO</t>
  </si>
  <si>
    <t>CIMF740725LB7</t>
  </si>
  <si>
    <t>CIMF740725HMCPRR01</t>
  </si>
  <si>
    <t>65781594, 53907118</t>
  </si>
  <si>
    <t>CHIMALPOPOCA MZ 423 LT 5</t>
  </si>
  <si>
    <t>EL TENAYO</t>
  </si>
  <si>
    <t>CONTRERAS NAJERA LUIS ALEXANDER</t>
  </si>
  <si>
    <t>CONL810514TB4</t>
  </si>
  <si>
    <t>CONL810514HTCNJS04</t>
  </si>
  <si>
    <t>993 1996712</t>
  </si>
  <si>
    <t>COMALCALCO MZ 12 LT 8</t>
  </si>
  <si>
    <t>ROBERTO MADRAZO</t>
  </si>
  <si>
    <t>DIAZ PEREZ AARON</t>
  </si>
  <si>
    <t>DIPA8503202G8</t>
  </si>
  <si>
    <t>DIPA850320HMCZRR06</t>
  </si>
  <si>
    <t>1RA CDA. GUERRERO S/N</t>
  </si>
  <si>
    <t>BARRIO SAN BARTOLO</t>
  </si>
  <si>
    <t>DUARTE IGLESIAS SALVADOR</t>
  </si>
  <si>
    <t>DUIS770601LB3</t>
  </si>
  <si>
    <t>DUIS770601HVZRGL09</t>
  </si>
  <si>
    <t>229 2328892</t>
  </si>
  <si>
    <t>BOSQUES DE PINO NO. 48</t>
  </si>
  <si>
    <t>FRACC. GEOVILLAS CAMPESTRE</t>
  </si>
  <si>
    <t>GARATACHIA HERNANDEZ JOSE ANTONIO</t>
  </si>
  <si>
    <t>GAHA7804278Z1</t>
  </si>
  <si>
    <t>GAHA-780427HMCRRN08</t>
  </si>
  <si>
    <t>722 1864490</t>
  </si>
  <si>
    <t>SIN NOMBRE, S/N,</t>
  </si>
  <si>
    <t>SAN AGUSTIN, POTEJE SUR</t>
  </si>
  <si>
    <t>ALMOLOYA DE JUAREZ</t>
  </si>
  <si>
    <t>GAYTAN  HURTADO ANGEL</t>
  </si>
  <si>
    <t>GAHA730901AW2</t>
  </si>
  <si>
    <t>GAHA730901HDFYRN02</t>
  </si>
  <si>
    <t>55 33221827</t>
  </si>
  <si>
    <t>AVENIDA VICENTE GUERRERO, SIN NUMERO</t>
  </si>
  <si>
    <t>LA VENTA</t>
  </si>
  <si>
    <t>JILOTEPEC DE MOLINA</t>
  </si>
  <si>
    <t>GUTIERREZ ESQUIVEL OMAR</t>
  </si>
  <si>
    <t>GUEO8611206MA</t>
  </si>
  <si>
    <t>GUEO861120HMCTSM09</t>
  </si>
  <si>
    <t>045 4432524903</t>
  </si>
  <si>
    <t>NIÃ‘OS HEROES SN</t>
  </si>
  <si>
    <t>SAN MATEO TLALCHICHILPAN</t>
  </si>
  <si>
    <t>EDOM020907 E</t>
  </si>
  <si>
    <t>GUTIERREZ MORALES OMAR MARTIN</t>
  </si>
  <si>
    <t>GUMO741103QZ8</t>
  </si>
  <si>
    <t>GUMO741103HDFTRM03</t>
  </si>
  <si>
    <t>55 20064012</t>
  </si>
  <si>
    <t>RET. ALHELIES MZ.2 LT.6 INT. 6-C</t>
  </si>
  <si>
    <t>LOS ALAMOS</t>
  </si>
  <si>
    <t>MELCHOR OCAMPO</t>
  </si>
  <si>
    <t>HERNANDEZ CORTES MOISES</t>
  </si>
  <si>
    <t>HECM720102FV3</t>
  </si>
  <si>
    <t>HECM720102HVZRRS06</t>
  </si>
  <si>
    <t>936 1141769</t>
  </si>
  <si>
    <t>RIO LAS MANZANAS NO. 152 MZ 43 LT 6</t>
  </si>
  <si>
    <t>FRACC. RIO MEDIO III</t>
  </si>
  <si>
    <t>HERNANDEZ GALLEGOS WALTER</t>
  </si>
  <si>
    <t>HEGW6810017X9</t>
  </si>
  <si>
    <t>HEGW681001HTCRLL01</t>
  </si>
  <si>
    <t>999 1358195</t>
  </si>
  <si>
    <t>C. 13 POR 36 Y 38 NO. 473</t>
  </si>
  <si>
    <t>FRACC. CARDENALES DE JUAN PABLO</t>
  </si>
  <si>
    <t>MERIDA</t>
  </si>
  <si>
    <t>HERNANDEZ GARCIA FELIX</t>
  </si>
  <si>
    <t>HEGF740729V15</t>
  </si>
  <si>
    <t>HEGF740729HMCRRL00</t>
  </si>
  <si>
    <t>595 9572674</t>
  </si>
  <si>
    <t>MOCTEZUMA NO. 18</t>
  </si>
  <si>
    <t>HERNANDEZ MARTINEZ OSCAR</t>
  </si>
  <si>
    <t>HEMO770730L29</t>
  </si>
  <si>
    <t>HEMO770730HDFRRS15</t>
  </si>
  <si>
    <t>55 65783734</t>
  </si>
  <si>
    <t>PUERTO PRINCIPE MZ. 19 LT. 9</t>
  </si>
  <si>
    <t>TIERRA BLANCA</t>
  </si>
  <si>
    <t>HERNANDEZ MELGOZA VICTOR ANTONIO</t>
  </si>
  <si>
    <t>HEMV7405166K3</t>
  </si>
  <si>
    <t>HEMV740516HMSRLC01</t>
  </si>
  <si>
    <t>735 3518486</t>
  </si>
  <si>
    <t>CONSTANCIO FARFAN NO. 27</t>
  </si>
  <si>
    <t>TENEXTEPANGO</t>
  </si>
  <si>
    <t>CUERNAVACA MORELOS</t>
  </si>
  <si>
    <t>HERNANDEZ PEREZ LUIS ALFREDO</t>
  </si>
  <si>
    <t>HEPL6707279L0</t>
  </si>
  <si>
    <t>HEPL670727HVZRRS05</t>
  </si>
  <si>
    <t>993 3420900</t>
  </si>
  <si>
    <t>AND. ANTURIOS NO. 72-B</t>
  </si>
  <si>
    <t>U.H. LOMAS VERDES</t>
  </si>
  <si>
    <t>XALAPA</t>
  </si>
  <si>
    <t>HERNANDEZ TORRES JUAN RAMON</t>
  </si>
  <si>
    <t>HETJ780809QT4</t>
  </si>
  <si>
    <t>HETJ780809HHCGRRN08</t>
  </si>
  <si>
    <t>773 1122554</t>
  </si>
  <si>
    <t>FRESNO NÂº 4</t>
  </si>
  <si>
    <t>PRADERAS DEL LLANO</t>
  </si>
  <si>
    <t>QRO09140 B-E</t>
  </si>
  <si>
    <t>HERRERA CRUZ ARNULFO</t>
  </si>
  <si>
    <t>HECA751108EP6</t>
  </si>
  <si>
    <t>HECA751108HVZRRR04</t>
  </si>
  <si>
    <t>288 1212237</t>
  </si>
  <si>
    <t>AV. NICOLAS BRAVO NÂº 990</t>
  </si>
  <si>
    <t>VILLA ACULA</t>
  </si>
  <si>
    <t>MARTINEZ SALAS EDGAR</t>
  </si>
  <si>
    <t>MASE8810201G3</t>
  </si>
  <si>
    <t>MASE881020HDFRLD02</t>
  </si>
  <si>
    <t>55 19694583</t>
  </si>
  <si>
    <t>TAJIN ED. 10-E DEPTO. 3</t>
  </si>
  <si>
    <t>U.H. CTM TIZAYUCA</t>
  </si>
  <si>
    <t>TIZAYUCA</t>
  </si>
  <si>
    <t>MONTIEL  HERNANDEZ FRANCISCO JAVIER</t>
  </si>
  <si>
    <t>MOHF721203UI4</t>
  </si>
  <si>
    <t>MOHF721203HTLNRR04</t>
  </si>
  <si>
    <t>241 1107348</t>
  </si>
  <si>
    <t>PRIVADA CELESTE, NÂº 469</t>
  </si>
  <si>
    <t>SAN JOSE TETEL</t>
  </si>
  <si>
    <t>YAUHQUEMECAN</t>
  </si>
  <si>
    <t>MORTERA MARTINEZ JUAN CARLOS</t>
  </si>
  <si>
    <t>MOMJ7808264W4</t>
  </si>
  <si>
    <t>MOMJ780826HVZRRN01</t>
  </si>
  <si>
    <t>921 150 1563</t>
  </si>
  <si>
    <t>1 Âº DE MAYO NÂº 6</t>
  </si>
  <si>
    <t>CALZADAS</t>
  </si>
  <si>
    <t>NAVA HERNANDEZ SOTERO ALEJANDRO</t>
  </si>
  <si>
    <t>NAHS6404222P7</t>
  </si>
  <si>
    <t>NAHS640422HDFVRT02</t>
  </si>
  <si>
    <t>55 54047425</t>
  </si>
  <si>
    <t>CTO. JOSEFA ORTIZ MZ 2 LT 10 INT 4</t>
  </si>
  <si>
    <t>UH HEROES ECATEPEC 3ERA. SECC</t>
  </si>
  <si>
    <t>POZOS OSORIO JOSE OSCAR</t>
  </si>
  <si>
    <t>admin1</t>
  </si>
  <si>
    <t>POOO630224I33</t>
  </si>
  <si>
    <t>POOO630224HDFZSS01</t>
  </si>
  <si>
    <t>5532972561, 5529852824</t>
  </si>
  <si>
    <t>CALLE REYNA YAEL NO. 17</t>
  </si>
  <si>
    <t>FRACC. RESIDENCIAL MORELOS</t>
  </si>
  <si>
    <t>RAMIREZ XOCHIPA CIRILO</t>
  </si>
  <si>
    <t>RAXC651218PB4</t>
  </si>
  <si>
    <t>RAXC651218HTLMCR11</t>
  </si>
  <si>
    <t>246 1409947</t>
  </si>
  <si>
    <t>MORELOS NO. 14</t>
  </si>
  <si>
    <t>SANTA CRUZ TECHACHALCO</t>
  </si>
  <si>
    <t>PANOTLA</t>
  </si>
  <si>
    <t>REYES HERNANDEZ ELIAS</t>
  </si>
  <si>
    <t>REHE740418QY0</t>
  </si>
  <si>
    <t>REHE740418HPLYRL06</t>
  </si>
  <si>
    <t>776 7621514</t>
  </si>
  <si>
    <t>1RA CERRADA DE LOS TECNICOS, NÂº34</t>
  </si>
  <si>
    <t>EL PARAISO</t>
  </si>
  <si>
    <t>HUAUCHINANGO</t>
  </si>
  <si>
    <t>REYNOSO URIAS ALFONSO</t>
  </si>
  <si>
    <t>REUA620425240</t>
  </si>
  <si>
    <t>REUA620425HGRYRL07</t>
  </si>
  <si>
    <t>747 1485575</t>
  </si>
  <si>
    <t>AVENIDA MEXICO SN</t>
  </si>
  <si>
    <t>PEDREGAL</t>
  </si>
  <si>
    <t>BUENAVISTA</t>
  </si>
  <si>
    <t>SANCHEZ SANCHEZ ISAIAS</t>
  </si>
  <si>
    <t>SASI7105039Y4</t>
  </si>
  <si>
    <t>SASI710503HHGNNS06</t>
  </si>
  <si>
    <t>772 1287690</t>
  </si>
  <si>
    <t>GABINO BARREDA NO. 47</t>
  </si>
  <si>
    <t>EL CERRITO COLORADO</t>
  </si>
  <si>
    <t>PROGRESO DE OBREGON</t>
  </si>
  <si>
    <t>CADENA ESQUIVEL LUIS ENRIQUE</t>
  </si>
  <si>
    <t>CAEL710502689</t>
  </si>
  <si>
    <t>CAEL710502HDFDSS06</t>
  </si>
  <si>
    <t>55 29852824</t>
  </si>
  <si>
    <t>JARDIN DE AMAPOLAS NÂº 81</t>
  </si>
  <si>
    <t>HACENDA DEL JARDIN</t>
  </si>
  <si>
    <t>ESCALANTE FLORES MANUEL ANTONIO</t>
  </si>
  <si>
    <t>EAFM680814KNA</t>
  </si>
  <si>
    <t>EAFM680814HTCSLN00</t>
  </si>
  <si>
    <t>DOMICILIO CONOCIDO S/N</t>
  </si>
  <si>
    <t>POBLADO TULIPAN</t>
  </si>
  <si>
    <t>CUNDUACAN</t>
  </si>
  <si>
    <t>LOPEZ QUIROGA JOSE DEL CARMEN</t>
  </si>
  <si>
    <t>LOQC751030151</t>
  </si>
  <si>
    <t>LOQC751030HTCPRR06</t>
  </si>
  <si>
    <t>JESUS GARCIA NO. 970</t>
  </si>
  <si>
    <t>CALZADA 1ERA. SECC</t>
  </si>
  <si>
    <t>CARDENAS</t>
  </si>
  <si>
    <t>VALENTE ESCOBAR EDUARDO</t>
  </si>
  <si>
    <t>VAEE7509076M1</t>
  </si>
  <si>
    <t>VAEE750907HGRLSD09</t>
  </si>
  <si>
    <t>744 2404336</t>
  </si>
  <si>
    <t>ZACATECAS S/N</t>
  </si>
  <si>
    <t>CERVANTES DELGADO</t>
  </si>
  <si>
    <t>XALTIANGUIS</t>
  </si>
  <si>
    <t>VARGAS DIAZ AGUSTIN</t>
  </si>
  <si>
    <t>OPERACION</t>
  </si>
  <si>
    <t>VADA8212232N8</t>
  </si>
  <si>
    <t>VADA821223HVZRZG09</t>
  </si>
  <si>
    <t>PRIV EL FERROCARRIL 106</t>
  </si>
  <si>
    <t>RINCONES DE LA HACIENDA</t>
  </si>
  <si>
    <t>TULANCINGO DEL BRAVO</t>
  </si>
  <si>
    <t>VER0208814BE</t>
  </si>
  <si>
    <t>J.L. CORTEZ</t>
  </si>
  <si>
    <t>COMPRASPVALLES</t>
  </si>
  <si>
    <t>RIVERO RIVERO JOSE ANTONIO</t>
  </si>
  <si>
    <t>ABURTO MONTIEL RAMON</t>
  </si>
  <si>
    <t>AUMR830412HG3</t>
  </si>
  <si>
    <t>AUMR830412HDFBNM08</t>
  </si>
  <si>
    <t>MIGUEL HIDALGO 16</t>
  </si>
  <si>
    <t>VR0402106E</t>
  </si>
  <si>
    <t>Aguilar MuÃ±oz Sergio</t>
  </si>
  <si>
    <t>Activo</t>
  </si>
  <si>
    <t>rminjares</t>
  </si>
  <si>
    <t>Gas LP Occidente</t>
  </si>
  <si>
    <t>Operador</t>
  </si>
  <si>
    <t>AUMS580422R74</t>
  </si>
  <si>
    <t>AUMS580422HPLGXR06</t>
  </si>
  <si>
    <t>Masculino</t>
  </si>
  <si>
    <t>Aguilar Amador Hugo</t>
  </si>
  <si>
    <t>Gas LP Mexico</t>
  </si>
  <si>
    <t>AUAH8004295K0</t>
  </si>
  <si>
    <t>AUAH800429HPLGMG01</t>
  </si>
  <si>
    <t>Aguilar Amador Sergio</t>
  </si>
  <si>
    <t>Gas LP Sureste</t>
  </si>
  <si>
    <t>AUAS830919FG7</t>
  </si>
  <si>
    <t>AUAS830919HPLGMR01</t>
  </si>
  <si>
    <t>Alcantar Porras Polo Armando</t>
  </si>
  <si>
    <t>Carga JuÃ¡rez</t>
  </si>
  <si>
    <t>AAPP711014G11</t>
  </si>
  <si>
    <t>AAPP711014HCHLRL03</t>
  </si>
  <si>
    <t>Banda Juarez Arturo Elias</t>
  </si>
  <si>
    <t>BAJA740418QEA</t>
  </si>
  <si>
    <t>BAJA740418HCHNTT09</t>
  </si>
  <si>
    <t>Carrillo Castro Oscar</t>
  </si>
  <si>
    <t>Gas LP Sonora</t>
  </si>
  <si>
    <t>CACO690203FN3</t>
  </si>
  <si>
    <t>Martinez Alvarez Jose Luis</t>
  </si>
  <si>
    <t>Â´06856800013</t>
  </si>
  <si>
    <t>MAAL680206NZ2</t>
  </si>
  <si>
    <t>MAAL680206HDFRLS07</t>
  </si>
  <si>
    <t>Martinez Martinez Roman</t>
  </si>
  <si>
    <t>Â´02937302640</t>
  </si>
  <si>
    <t>MAMR750617TY5</t>
  </si>
  <si>
    <t>MAMR750617HPLRRM08</t>
  </si>
  <si>
    <t>Miranda Armenta Manuel Remberto</t>
  </si>
  <si>
    <t>MIAM7504161V1</t>
  </si>
  <si>
    <t>Moreno Castro Juan Manuel</t>
  </si>
  <si>
    <t>MuÃ±oz Gomez Lucio Arturo</t>
  </si>
  <si>
    <t>Gas LP Baja California</t>
  </si>
  <si>
    <t>MUGL7012155U2</t>
  </si>
  <si>
    <t>Pedraza Estrada Domingo</t>
  </si>
  <si>
    <t>PEED670804SN3</t>
  </si>
  <si>
    <t>PEED670804HHGDSM08</t>
  </si>
  <si>
    <t>Roman Nieva Luis</t>
  </si>
  <si>
    <t>RONL660113PL3</t>
  </si>
  <si>
    <t>RONL660113HPLMVS09</t>
  </si>
  <si>
    <t>Tlaseca Quiroz Jose</t>
  </si>
  <si>
    <t>TAQJ680222AD9</t>
  </si>
  <si>
    <t>TAQJ680222HPLLRS07</t>
  </si>
  <si>
    <t>GARDUÃ‘O CRUZ HECTOR</t>
  </si>
  <si>
    <t>COMPRASAMOLINA</t>
  </si>
  <si>
    <t>GACH780102G49</t>
  </si>
  <si>
    <t>GACH780102HNCRRC04</t>
  </si>
  <si>
    <t>AV. MORELOS MODULO 1 C43</t>
  </si>
  <si>
    <t>CASTILLO DE ARAGON</t>
  </si>
  <si>
    <t>DF00163601BE</t>
  </si>
  <si>
    <t>MORALES HUESCA JORGE</t>
  </si>
  <si>
    <t>NOHJ7806255W6</t>
  </si>
  <si>
    <t>NOHJ780625HPLRSR05</t>
  </si>
  <si>
    <t>MIGUEL ALLENDE 108</t>
  </si>
  <si>
    <t>DOMINGO ARENAS</t>
  </si>
  <si>
    <t>SANTA RITA, TLAHUAPAN</t>
  </si>
  <si>
    <t>UE0008653BE</t>
  </si>
  <si>
    <t>REYNOSO GUERRERO JOSE</t>
  </si>
  <si>
    <t>RIGJ840901M90</t>
  </si>
  <si>
    <t>RIGJ840901HGRYRS05</t>
  </si>
  <si>
    <t>AV. MEXICO S/N</t>
  </si>
  <si>
    <t>EL PEDREGAL</t>
  </si>
  <si>
    <t>ESTADO DE GUERRERO</t>
  </si>
  <si>
    <t>GRO0006149</t>
  </si>
  <si>
    <t>NUÃ‘EZ RENDON ALFREDO</t>
  </si>
  <si>
    <t>COMPRASCDELEON</t>
  </si>
  <si>
    <t>NURA740613HU2</t>
  </si>
  <si>
    <t>NURA740613HGRXNL07</t>
  </si>
  <si>
    <t>INDEPENDECIA LT 18</t>
  </si>
  <si>
    <t>ANGEL AGUIRRE RIVERO</t>
  </si>
  <si>
    <t>CHILAPA DE ALVAREZ</t>
  </si>
  <si>
    <t>GRO03294BE</t>
  </si>
  <si>
    <t>SANCHEZ TREJO DAVID</t>
  </si>
  <si>
    <t>SATD751024NZ9</t>
  </si>
  <si>
    <t>SATD751024HMCNRV07</t>
  </si>
  <si>
    <t>20 DE NOVIEMBRE 41</t>
  </si>
  <si>
    <t>TULTECA TEOPAN</t>
  </si>
  <si>
    <t>TEPETLAOXTOC</t>
  </si>
  <si>
    <t>DF00143012 BE</t>
  </si>
  <si>
    <t>JUAREZ JUAREZ JUAN LUIS</t>
  </si>
  <si>
    <t>JUJJ801218LB1</t>
  </si>
  <si>
    <t>JUJJ801218HHGRRN02</t>
  </si>
  <si>
    <t>CALLE 20 DE NOVIEMBRE NUM 16</t>
  </si>
  <si>
    <t>XOCHITLAN</t>
  </si>
  <si>
    <t>HGO0008879E</t>
  </si>
  <si>
    <t>HERNANDEZ HERNANDEZ JOSE BERNARDO</t>
  </si>
  <si>
    <t>HERA710319T4A</t>
  </si>
  <si>
    <t>HEHB710319HDFRRR01</t>
  </si>
  <si>
    <t>5520394970, 5538292204</t>
  </si>
  <si>
    <t>AV. NORTE 2 EDIF D DPTO 101, MZN C, CASA L3</t>
  </si>
  <si>
    <t>U.H. INFONAVIT TEPALCAPA</t>
  </si>
  <si>
    <t>CUAUTITLAN IZCALLI</t>
  </si>
  <si>
    <t>DF112890BE</t>
  </si>
  <si>
    <t>MALDONADO RUIZ JOSE JAVIER</t>
  </si>
  <si>
    <t>MARJ620125991</t>
  </si>
  <si>
    <t>MARJ620125HMCLZV08</t>
  </si>
  <si>
    <t>ITALIA 101 MZ 20 LT 1</t>
  </si>
  <si>
    <t>GEOVILLAS DE HIDALGO</t>
  </si>
  <si>
    <t>PACHUCA DE SOTO</t>
  </si>
  <si>
    <t>VER112031BE</t>
  </si>
  <si>
    <t>HERNANDEZ RODRIGUEZ ALFREDO</t>
  </si>
  <si>
    <t>HERA660517HR9</t>
  </si>
  <si>
    <t>HERA660517HDFRDL06</t>
  </si>
  <si>
    <t>PRIV. PTO MAZATLAN SN</t>
  </si>
  <si>
    <t>LOMA DE LA PALMA</t>
  </si>
  <si>
    <t>GUSTAVO A MADERO</t>
  </si>
  <si>
    <t>VER117414E</t>
  </si>
  <si>
    <t>GUERRERO JASSO ROBERTO</t>
  </si>
  <si>
    <t>GUJR710607FU9</t>
  </si>
  <si>
    <t>GUJR710607HDFRSB05</t>
  </si>
  <si>
    <t>CORDOBA 18 MZ 30 LT10</t>
  </si>
  <si>
    <t>LOMA BONITA</t>
  </si>
  <si>
    <t>DF00126750</t>
  </si>
  <si>
    <t>MELENDEZ DELGADILLO DEMETRIO</t>
  </si>
  <si>
    <t>MEDD740611IU7</t>
  </si>
  <si>
    <t>MEDD740611HPLLLM09</t>
  </si>
  <si>
    <t>PRIVADA DE REFORMA 130</t>
  </si>
  <si>
    <t>CENTRO DE XICOTEPEC</t>
  </si>
  <si>
    <t>XICOTEPEC DE JUAREZ</t>
  </si>
  <si>
    <t>VER0133187E</t>
  </si>
  <si>
    <t>PEREZ CARDENAS LUIS ALBERTO</t>
  </si>
  <si>
    <t>PECL850213FB0</t>
  </si>
  <si>
    <t>PECL850213HDFRRS05</t>
  </si>
  <si>
    <t>ING. JESUS MANUEL TAPIA NÂº 38</t>
  </si>
  <si>
    <t>FRACCIONAMIENTO SAN ANTONIO</t>
  </si>
  <si>
    <t>CHIAUTLA</t>
  </si>
  <si>
    <t>MARTNEZ MARTINEZ JUSTO</t>
  </si>
  <si>
    <t>MAMJ801018HMCRRS26</t>
  </si>
  <si>
    <t>044 5527099420</t>
  </si>
  <si>
    <t>GUADALUPE VICTORIA NO. 13</t>
  </si>
  <si>
    <t>LOMA COLORADA</t>
  </si>
  <si>
    <t>NAUCALPAN DE JUAREZ</t>
  </si>
  <si>
    <t>VER127059 E</t>
  </si>
  <si>
    <t>CRUZ HERNANDEZ MARTIN GERARDO</t>
  </si>
  <si>
    <t>CUHM630423HDFRRR08</t>
  </si>
  <si>
    <t>57 90 66 20</t>
  </si>
  <si>
    <t>CALLE 29 LT-22 MZ-80</t>
  </si>
  <si>
    <t>FRACC. VILLA DE GUADALUPE XALOSTOC</t>
  </si>
  <si>
    <t>DF111561 B E</t>
  </si>
  <si>
    <t>GARCIA MORALES J. FRANCISCO</t>
  </si>
  <si>
    <t>GAMF840723HQTRRR06</t>
  </si>
  <si>
    <t>IMPALA, NÂº 26</t>
  </si>
  <si>
    <t>FRACCIONAMIENTO LA PRADERA</t>
  </si>
  <si>
    <t>MARQUEZ</t>
  </si>
  <si>
    <t>QUERETARO</t>
  </si>
  <si>
    <t>QRO0017823 E</t>
  </si>
  <si>
    <t>DE LA CRUZ BERRIOS FRANCISCO ALBERTO</t>
  </si>
  <si>
    <t>CUBF840709HPLRRR04</t>
  </si>
  <si>
    <t>AV. REFORMA NORTE, NÂº13</t>
  </si>
  <si>
    <t>SAN ISIDRO MONTERROSAS</t>
  </si>
  <si>
    <t>PALMAR DE BRAVO</t>
  </si>
  <si>
    <t>HGO0011992 B</t>
  </si>
  <si>
    <t>PINEDA GAYTAN CAMILO ALEJANDRO</t>
  </si>
  <si>
    <t>ADMIN</t>
  </si>
  <si>
    <t>PIGC840307HDFNYM02</t>
  </si>
  <si>
    <t>AV. VICENTE GUERRERO, SN</t>
  </si>
  <si>
    <t>JILOTEPEC</t>
  </si>
  <si>
    <t>EDOM025676 E</t>
  </si>
  <si>
    <t>RIVERA JIMENEZ JOSE ALFREDO</t>
  </si>
  <si>
    <t>RIJA840523HGRVML04</t>
  </si>
  <si>
    <t>CTO PINO DE CALABRIA 105</t>
  </si>
  <si>
    <t>FRACCIONAMIENTO CIPRRESES</t>
  </si>
  <si>
    <t>SALAMANCA</t>
  </si>
  <si>
    <t>GRO0005192 E</t>
  </si>
  <si>
    <t>REYES HERNANDEZ GERARDO</t>
  </si>
  <si>
    <t>REHG810115IK5</t>
  </si>
  <si>
    <t>REHG810115HPLYRR00</t>
  </si>
  <si>
    <t>GUERRERO #150</t>
  </si>
  <si>
    <t>SAN AGUSTIN</t>
  </si>
  <si>
    <t>PUE0017583 BE</t>
  </si>
  <si>
    <t>RAMOS MONTES MISAEL</t>
  </si>
  <si>
    <t>RAMM800428412</t>
  </si>
  <si>
    <t>RAMM800428HGRMNS01</t>
  </si>
  <si>
    <t>045 7771413462</t>
  </si>
  <si>
    <t>CALLE 20 DE NOV. N/S</t>
  </si>
  <si>
    <t>3 DE MAYO ALPUYECA</t>
  </si>
  <si>
    <t>XOCHITEPEC</t>
  </si>
  <si>
    <t>MOR0008780 BE</t>
  </si>
  <si>
    <t>REYES RAMOS MARCOS</t>
  </si>
  <si>
    <t>RERM7412209MA</t>
  </si>
  <si>
    <t>RERM741220HPLYMR05</t>
  </si>
  <si>
    <t>045 8712349322</t>
  </si>
  <si>
    <t>CALLE UVA NO. 35</t>
  </si>
  <si>
    <t>LOMAS DE CHAPULTEPEC</t>
  </si>
  <si>
    <t>PUE0006780 BE</t>
  </si>
  <si>
    <t>VARGAS SANTOS GERARDO</t>
  </si>
  <si>
    <t>VASG691016HPLRNR03</t>
  </si>
  <si>
    <t>044 5542808440; 044 5527866758</t>
  </si>
  <si>
    <t>P. ROVERETO MZ. 4B LT. 13 157</t>
  </si>
  <si>
    <t>TAMP300330 E</t>
  </si>
  <si>
    <t>HERNANDEZ ROMERO ROBERTO</t>
  </si>
  <si>
    <t>HERR830910HTCRMB09</t>
  </si>
  <si>
    <t>045 9321187032</t>
  </si>
  <si>
    <t>CHIQUIGUAO MZ. 11 LT. 32</t>
  </si>
  <si>
    <t>FRACC. CIUDAD BICENTENARIO</t>
  </si>
  <si>
    <t>PUE0015857 B E</t>
  </si>
  <si>
    <t>GARCIA SOTO RUBEN</t>
  </si>
  <si>
    <t>GASR800320NQ5</t>
  </si>
  <si>
    <t>GASR800320HPLRTB06</t>
  </si>
  <si>
    <t>LIQUIDAMBAR NO. 13</t>
  </si>
  <si>
    <t>FOVISSSTE</t>
  </si>
  <si>
    <t>XICOTEPEC</t>
  </si>
  <si>
    <t>VER0208987 B-E</t>
  </si>
  <si>
    <t>CHULIM CIREROL JOSE ALBERTO</t>
  </si>
  <si>
    <t>CUCA710225NC2</t>
  </si>
  <si>
    <t>CUCA710225HDFHRL00</t>
  </si>
  <si>
    <t>CUAUTITLAN MZ. 113 LT. 30</t>
  </si>
  <si>
    <t>CD. AZTECA 2DA. SECCION</t>
  </si>
  <si>
    <t>DF00146943 E</t>
  </si>
  <si>
    <t>GARATACHIA ALMANZA JHONNY CARMELO</t>
  </si>
  <si>
    <t>GAAJ8801055K7</t>
  </si>
  <si>
    <t>GAAJ880105HMCRLH08</t>
  </si>
  <si>
    <t>0457223285245;045</t>
  </si>
  <si>
    <t>AV. SAN ISIDRO S/N</t>
  </si>
  <si>
    <t>SAN BARTOLO DEL LLANO</t>
  </si>
  <si>
    <t>ZINACATEPEC</t>
  </si>
  <si>
    <t>EDOM024285 B-E</t>
  </si>
  <si>
    <t>SOLORZANO CORTES JORGE ANTONIO</t>
  </si>
  <si>
    <t>SOCJ6606138A1</t>
  </si>
  <si>
    <t>045 7838327958</t>
  </si>
  <si>
    <t>GRAL. PEDRO MARIA ANAYA NO. 26</t>
  </si>
  <si>
    <t>HIDALGO MORELOS</t>
  </si>
  <si>
    <t>ZEMPOALA</t>
  </si>
  <si>
    <t>TLAX04834 B-E</t>
  </si>
  <si>
    <t>BARRIGA ROJAS SABAS ARTURO</t>
  </si>
  <si>
    <t>BARS7606113J3</t>
  </si>
  <si>
    <t>BARS760611HMNRJB01</t>
  </si>
  <si>
    <t>PASEO DE LA CARIDAD MZ. 5 LT. 10 CS. 12</t>
  </si>
  <si>
    <t>FRACC. PASEOS DE CHALCO</t>
  </si>
  <si>
    <t>CHALCO</t>
  </si>
  <si>
    <t>MOR04604 B-E</t>
  </si>
  <si>
    <t>VAZQUEZ RODRIGUEZ JOSE FRANCISCO</t>
  </si>
  <si>
    <t>VARF811211NV8</t>
  </si>
  <si>
    <t>VARF811211HGTZDR09</t>
  </si>
  <si>
    <t>HACIENDA DE CUITZEO NO. 148</t>
  </si>
  <si>
    <t>FRACC. CUITZEO DE LOS NARANJOS</t>
  </si>
  <si>
    <t>GTO0010419 E</t>
  </si>
  <si>
    <t>LUGO LIRA JUAN ADOLFO</t>
  </si>
  <si>
    <t>LULJ620624HVZGRN05</t>
  </si>
  <si>
    <t>045 7761075394</t>
  </si>
  <si>
    <t>LOC. ZAPOTAL S/N</t>
  </si>
  <si>
    <t>ZAPOTAL SANTA CRUZ</t>
  </si>
  <si>
    <t>TIHUATLAN</t>
  </si>
  <si>
    <t>TUXPAN</t>
  </si>
  <si>
    <t>VER0204378 B-E</t>
  </si>
  <si>
    <t>HERNANDEZ RODRIGUEZ JESUS</t>
  </si>
  <si>
    <t>HERJ771225621</t>
  </si>
  <si>
    <t>HERJ771225HMCRDS04</t>
  </si>
  <si>
    <t>044 5563740963</t>
  </si>
  <si>
    <t>C. 16 DE SEPTIEMBRE S/N</t>
  </si>
  <si>
    <t>SAN MIGUEL JAGUEYES</t>
  </si>
  <si>
    <t>DF00225096  E</t>
  </si>
  <si>
    <t>GONZALEZ ALVAREZ PEDRO ARTURO</t>
  </si>
  <si>
    <t>GOAP610504HMCNLD09</t>
  </si>
  <si>
    <t>045 9671041283</t>
  </si>
  <si>
    <t>PRIV. GUEMEZ NO. 300</t>
  </si>
  <si>
    <t>UNIDAD OBRERA</t>
  </si>
  <si>
    <t>REYNOSA</t>
  </si>
  <si>
    <t>TAMAULIPAS</t>
  </si>
  <si>
    <t>TAMP406059 B-E</t>
  </si>
  <si>
    <t>CARRAZCO MALDONADO ABRAHAM</t>
  </si>
  <si>
    <t>CAMA870316HPLRLB01</t>
  </si>
  <si>
    <t>045 7641177407</t>
  </si>
  <si>
    <t>PRIV. 12 DE DICIEMBRE S/N</t>
  </si>
  <si>
    <t>SAN ISIDRO</t>
  </si>
  <si>
    <t>VER0207852 B-E</t>
  </si>
  <si>
    <t>MARTINEZ RAMIREZ JOSE MANUEL</t>
  </si>
  <si>
    <t>MARM671113HMCRMN02</t>
  </si>
  <si>
    <t>TLALNEPANTLA NO. 21</t>
  </si>
  <si>
    <t>SANTA BARBARA</t>
  </si>
  <si>
    <t>DF109858 B-E</t>
  </si>
  <si>
    <t>LOPEZ OLMOS GUILLERMO</t>
  </si>
  <si>
    <t>LOOG710829HVZPLL04</t>
  </si>
  <si>
    <t>045 7831144032</t>
  </si>
  <si>
    <t>CALLEJON CANCION DEL AMOR S/N</t>
  </si>
  <si>
    <t>ESPERANZA AZCON</t>
  </si>
  <si>
    <t>VER0205606 B-E</t>
  </si>
  <si>
    <t>CASTILLO MENDOZA JUAN MANUEL</t>
  </si>
  <si>
    <t>CAMJ810126HDFSNN04</t>
  </si>
  <si>
    <t>044 5554514218</t>
  </si>
  <si>
    <t>CHICUEL MZ.4 LT.12</t>
  </si>
  <si>
    <t>CD. CUAUHTEMOC</t>
  </si>
  <si>
    <t>DF00133333 B-E</t>
  </si>
  <si>
    <t>PALACIOS CRUZ ALEJANDRO</t>
  </si>
  <si>
    <t>PACA760311PY3</t>
  </si>
  <si>
    <t>PACA760311HVZLRL06</t>
  </si>
  <si>
    <t>045 2881061403</t>
  </si>
  <si>
    <t>ABASOLO S/N</t>
  </si>
  <si>
    <t>VER131118 E</t>
  </si>
  <si>
    <t>GUERRERO JIMENEZ VICTOR</t>
  </si>
  <si>
    <t>GUJV8603293C5</t>
  </si>
  <si>
    <t>GUJV860329HMSRMC09</t>
  </si>
  <si>
    <t>044 5514271496</t>
  </si>
  <si>
    <t>EMILIANO ZAPATA NO. 21</t>
  </si>
  <si>
    <t>DF00176624 E</t>
  </si>
  <si>
    <t>TEJEDA SANCHEZ FRANCISCO</t>
  </si>
  <si>
    <t>TESF850103DA5</t>
  </si>
  <si>
    <t>TESF850103HSLJNR02</t>
  </si>
  <si>
    <t>045 4311028111</t>
  </si>
  <si>
    <t>JAVIER MINA NO. 99</t>
  </si>
  <si>
    <t>LA LUZ</t>
  </si>
  <si>
    <t>JALOSTOTITLAN</t>
  </si>
  <si>
    <t>JAL0025908 B-E</t>
  </si>
  <si>
    <t>PALACIOS ESQUIVEL JOSE LUIS</t>
  </si>
  <si>
    <t>PAEL510314IC9</t>
  </si>
  <si>
    <t>PAEL510314HMCLSS01</t>
  </si>
  <si>
    <t>LAGO TASIMAY NO. 7-3</t>
  </si>
  <si>
    <t>TORRE BLANCA</t>
  </si>
  <si>
    <t>VILLA NICOLAS ROMERO</t>
  </si>
  <si>
    <t>BCN200505</t>
  </si>
  <si>
    <t>GARNICA ANDRADE GERARDO FIDEL</t>
  </si>
  <si>
    <t>GAAG6702108L1</t>
  </si>
  <si>
    <t>GAAG670210HJCRNR08</t>
  </si>
  <si>
    <t>045 3334875530</t>
  </si>
  <si>
    <t>JUAN R. BERMEJO NO. 1653</t>
  </si>
  <si>
    <t>FRACC. COLON INDUSTRIAL</t>
  </si>
  <si>
    <t>JAL0040605 E</t>
  </si>
  <si>
    <t>GONZALEZ TORRES MARCO ANTONIO</t>
  </si>
  <si>
    <t>GOTM800513NS5</t>
  </si>
  <si>
    <t>GOTM800513HGRNRR06</t>
  </si>
  <si>
    <t>045 7331156054</t>
  </si>
  <si>
    <t>CALLE SIN NOMBRE S/N</t>
  </si>
  <si>
    <t>GRO0004696 E-B</t>
  </si>
  <si>
    <t>MIRANDA MEJIA JOSE</t>
  </si>
  <si>
    <t>MIMJ830319BJ6</t>
  </si>
  <si>
    <t>MIMJ830319HDFRJS06</t>
  </si>
  <si>
    <t>045 7333363013</t>
  </si>
  <si>
    <t>DEL VILLAR VILLALON ESPERANZA LT. 9 Y 10</t>
  </si>
  <si>
    <t>CAMPAMENTO AMACUZAC</t>
  </si>
  <si>
    <t>AMACUZAC</t>
  </si>
  <si>
    <t>GRO0005216 B-E</t>
  </si>
  <si>
    <t>RODRIGUEZ ESPINOZA ALEJANDRO</t>
  </si>
  <si>
    <t>ROEA721018PN1</t>
  </si>
  <si>
    <t>ROEA721018HMCDSL03</t>
  </si>
  <si>
    <t>ALLENDE NO. 23 A</t>
  </si>
  <si>
    <t>EMILIANO ZAPATA</t>
  </si>
  <si>
    <t>PUE06723 E</t>
  </si>
  <si>
    <t>CHAVEZ MONTERROSA JUAN JOSE</t>
  </si>
  <si>
    <t>CAMJ700108FQ5</t>
  </si>
  <si>
    <t>CAMJ700108HHGHNN09</t>
  </si>
  <si>
    <t>045 6242428004</t>
  </si>
  <si>
    <t>AV. DEL TRABAJO NO. 3</t>
  </si>
  <si>
    <t>VITO HIDALGO</t>
  </si>
  <si>
    <t>VER118979 E-A</t>
  </si>
  <si>
    <t>SANCHEZ MONTIEL ADOLFO</t>
  </si>
  <si>
    <t>SAMA680927FH5</t>
  </si>
  <si>
    <t>SAMA680927HHGNND09</t>
  </si>
  <si>
    <t>045 7731746122</t>
  </si>
  <si>
    <t>AV. REVOLUCION S/N</t>
  </si>
  <si>
    <t>EL LLANO 2DA. SECC.</t>
  </si>
  <si>
    <t>DF00100574 E</t>
  </si>
  <si>
    <t>BARRIOS MARAÃ‘ON HECTOR AMAURY</t>
  </si>
  <si>
    <t>BAMH6712284RA</t>
  </si>
  <si>
    <t>BAMH671228HVZRRC00</t>
  </si>
  <si>
    <t>045 3313331312</t>
  </si>
  <si>
    <t>TENOCHTITLAN NO. 157</t>
  </si>
  <si>
    <t>FRACC. DEL SOL</t>
  </si>
  <si>
    <t>TOLOLOTLAN TONALA</t>
  </si>
  <si>
    <t>JAL0018499 E</t>
  </si>
  <si>
    <t>AMAYA FLORES GUSTAVO ALONSO</t>
  </si>
  <si>
    <t>AAFG8806198F5</t>
  </si>
  <si>
    <t>AAFG880619HJCMLS05</t>
  </si>
  <si>
    <t>045 3314215185</t>
  </si>
  <si>
    <t>PASEO DE LOS CEREZOS NO. 4052</t>
  </si>
  <si>
    <t>SENDERO REAL</t>
  </si>
  <si>
    <t>JAL0034099 E</t>
  </si>
  <si>
    <t>LEAL GOMEZ RAFAEL</t>
  </si>
  <si>
    <t>LEGR730819CX0</t>
  </si>
  <si>
    <t>LEGR730819HVZLMF08</t>
  </si>
  <si>
    <t>045 4612806142</t>
  </si>
  <si>
    <t>VENUSTIANO CARRANZA NO. 101</t>
  </si>
  <si>
    <t>PEROTE</t>
  </si>
  <si>
    <t>VER0137302 B-E</t>
  </si>
  <si>
    <t>GONZALEZ CANALES SANTIAGO</t>
  </si>
  <si>
    <t>DESKTOP-B5KM296</t>
  </si>
  <si>
    <t>GOCS860225HPLNNN03</t>
  </si>
  <si>
    <t>045 7641025982</t>
  </si>
  <si>
    <t>DURAZNO NO. 31</t>
  </si>
  <si>
    <t>EL POTRO</t>
  </si>
  <si>
    <t>PUE0017255 B E</t>
  </si>
  <si>
    <t>GONZALEZ PEREZ JULIO EDUARDO</t>
  </si>
  <si>
    <t>GOPJ790307DV0</t>
  </si>
  <si>
    <t>GOPJ790307HJCNRL04</t>
  </si>
  <si>
    <t>045 3317688150</t>
  </si>
  <si>
    <t>AVENIDA DE LAS ARTES 725, INT. 131.</t>
  </si>
  <si>
    <t>FRACCIONAMIENTO LOS CANTAROS</t>
  </si>
  <si>
    <t>ATLAJOMULCO DE ZUÃ‘IGA</t>
  </si>
  <si>
    <t>SON0006282 E</t>
  </si>
  <si>
    <t>ENGRANDE LOPEZ JUAN ROSENDO</t>
  </si>
  <si>
    <t>EALJ710303H48</t>
  </si>
  <si>
    <t>EALJ710303HMCNPN06</t>
  </si>
  <si>
    <t>045 8331218021</t>
  </si>
  <si>
    <t>LIBERTAD NO. 205</t>
  </si>
  <si>
    <t>SAN JUAN DE LAS HUERTAS</t>
  </si>
  <si>
    <t>ZINACANTEPEC</t>
  </si>
  <si>
    <t>EDOM007826 E</t>
  </si>
  <si>
    <t>CARRILLO VARGAS ARAM GERARDO</t>
  </si>
  <si>
    <t>CAVA940518GL3</t>
  </si>
  <si>
    <t>CAVA940518HDGRRR08</t>
  </si>
  <si>
    <t>045 6642534797</t>
  </si>
  <si>
    <t>AVENIDA DE LOS DURAZNOS 9314, 19 C</t>
  </si>
  <si>
    <t>DGO0004598 B-E</t>
  </si>
  <si>
    <t>AGUILAR LOPEZ ANGEL LAURO</t>
  </si>
  <si>
    <t>AULA741002674</t>
  </si>
  <si>
    <t>AULA741002HPLGPN00</t>
  </si>
  <si>
    <t>045 2381160271</t>
  </si>
  <si>
    <t>SAN JOSE 3839-2</t>
  </si>
  <si>
    <t>FRACC. VISTA LAS PALMAS</t>
  </si>
  <si>
    <t>TEHUACAN</t>
  </si>
  <si>
    <t>VER0127698 E</t>
  </si>
  <si>
    <t>BAÃ‘UELOS RIVERA ANTONIO</t>
  </si>
  <si>
    <t>BARA6910102BA</t>
  </si>
  <si>
    <t>BARA691010HDFXVN07</t>
  </si>
  <si>
    <t>044 5559666348</t>
  </si>
  <si>
    <t>COLIMA NO. 11</t>
  </si>
  <si>
    <t>MEXICO NUEVO</t>
  </si>
  <si>
    <t>ATIZAPAN DE ZARAGOZA</t>
  </si>
  <si>
    <t>EDOM10195 E</t>
  </si>
  <si>
    <t>SILVA CAMPBELL GERARDO</t>
  </si>
  <si>
    <t>SICG780405TB9</t>
  </si>
  <si>
    <t>SICG780405HVZLMR06</t>
  </si>
  <si>
    <t>045 7831194453</t>
  </si>
  <si>
    <t>JUAN DE LA BARRERA S/N</t>
  </si>
  <si>
    <t>REYES HEROLES</t>
  </si>
  <si>
    <t>VER01242132 E</t>
  </si>
  <si>
    <t>VARGAS CARRASCO ALFREDO</t>
  </si>
  <si>
    <t>VACA850705BE9</t>
  </si>
  <si>
    <t>VACA850705HPLRRL04</t>
  </si>
  <si>
    <t>045 7641110496</t>
  </si>
  <si>
    <t>PROV. 12 DE DICIEMBRE S/N</t>
  </si>
  <si>
    <t>VER0208307 B-E</t>
  </si>
  <si>
    <t>PEREZ SALINAS ALEJANDRO</t>
  </si>
  <si>
    <t>PESA740122HA7</t>
  </si>
  <si>
    <t>PESA740122HQTRLL09</t>
  </si>
  <si>
    <t>045 4272649480</t>
  </si>
  <si>
    <t>AVENIDA CONSTITUCION EXT. 10</t>
  </si>
  <si>
    <t>SAN MIGUEL GALINDO</t>
  </si>
  <si>
    <t>SAN JUAN DEL RIO</t>
  </si>
  <si>
    <t>QRO08694 E</t>
  </si>
  <si>
    <t>GOMEZ DOMINGUEZ GUSTAVO</t>
  </si>
  <si>
    <t>GODG600318HCHMMS03</t>
  </si>
  <si>
    <t>01656 2416442</t>
  </si>
  <si>
    <t>BERNARDO VILLAGRAN NO. 1962</t>
  </si>
  <si>
    <t>FRACC. RINCONADA DE LAS TORRES</t>
  </si>
  <si>
    <t>CHIH105698    E</t>
  </si>
  <si>
    <t>MORALES JIMENEZ JOSE PRISCILIANO</t>
  </si>
  <si>
    <t>MOJP701019LN1</t>
  </si>
  <si>
    <t>MOJP701019HPLRMR16</t>
  </si>
  <si>
    <t>045 2225582849</t>
  </si>
  <si>
    <t>RET. 17 J 5-2</t>
  </si>
  <si>
    <t>FRACC. SAN SEBASTIAN</t>
  </si>
  <si>
    <t>PUE0021211 B-E</t>
  </si>
  <si>
    <t>VILLAZANA ARTEAGA JESUS ERNESTO</t>
  </si>
  <si>
    <t>VIAJ830412PV3</t>
  </si>
  <si>
    <t>VIAJ830412HGRLRS00</t>
  </si>
  <si>
    <t>045 7441154363</t>
  </si>
  <si>
    <t>LOC. PRAXEDIS GUERRERO KM. 18</t>
  </si>
  <si>
    <t>PRAXEDIS GUERRERO</t>
  </si>
  <si>
    <t>COTA ESQUER ADAN ABEL</t>
  </si>
  <si>
    <t>COEA730619J8A</t>
  </si>
  <si>
    <t>COEA730619HSRTSD09</t>
  </si>
  <si>
    <t>045 6471179053</t>
  </si>
  <si>
    <t>POSTE B2.1</t>
  </si>
  <si>
    <t>SON0003200 B-E</t>
  </si>
  <si>
    <t>OLVERASOLIS FLAVIO</t>
  </si>
  <si>
    <t>OESF650813AZ9</t>
  </si>
  <si>
    <t>OESF650813HPLLLL03</t>
  </si>
  <si>
    <t>045 7828176942</t>
  </si>
  <si>
    <t>MARGARITA MONTAÃ‘O NÂ°11</t>
  </si>
  <si>
    <t>FOVISSTE</t>
  </si>
  <si>
    <t>SON0003200 B E</t>
  </si>
  <si>
    <t>MURILLO CASTELLANOS MIGUEL ANGEL</t>
  </si>
  <si>
    <t>MUCM871018RE4</t>
  </si>
  <si>
    <t>MUCM871018HJCRSG03</t>
  </si>
  <si>
    <t>045 3311144730</t>
  </si>
  <si>
    <t>NTRA. SEÃ‘ORA DE LAS MERCEDES NO. 308</t>
  </si>
  <si>
    <t>HDA. STA. FÃ‰</t>
  </si>
  <si>
    <t>TLACOMULCO DE ZUÃ‘IGA</t>
  </si>
  <si>
    <t>COL0114982 B-E</t>
  </si>
  <si>
    <t>BOJORQUEZ MENDOZA JULIO CESAR</t>
  </si>
  <si>
    <t>BOMJ820108BV2</t>
  </si>
  <si>
    <t>BOMJ820108HDFJNL02</t>
  </si>
  <si>
    <t>PALMACRISTIS 690</t>
  </si>
  <si>
    <t>VILLA DE LAS FLORES</t>
  </si>
  <si>
    <t>DF00235397 B-E</t>
  </si>
  <si>
    <t>AQUINO CHAVEZ ALEJANDRO</t>
  </si>
  <si>
    <t>AUCA710612RY4</t>
  </si>
  <si>
    <t>AUCA710612HCHQHL08</t>
  </si>
  <si>
    <t>045 7471285765</t>
  </si>
  <si>
    <t>LAGO CONSTANZA NO. 13</t>
  </si>
  <si>
    <t>STA. CRUZ TEHUISPANGO</t>
  </si>
  <si>
    <t>ATLIXCO</t>
  </si>
  <si>
    <t>GRO03636 B-E</t>
  </si>
  <si>
    <t>BAZAN ROSALES CESAR ALEJANDRO</t>
  </si>
  <si>
    <t>BARC750618VA7</t>
  </si>
  <si>
    <t>BARC750618HCMZSS08</t>
  </si>
  <si>
    <t>044 5520028215</t>
  </si>
  <si>
    <t>CASAS VIEJAS NO. 56</t>
  </si>
  <si>
    <t>BARRIO GUADALUPE</t>
  </si>
  <si>
    <t>TEPOTZOTLAN</t>
  </si>
  <si>
    <t>DF00235968 B-E</t>
  </si>
  <si>
    <t>LINALDI DIAZ REMIGIO</t>
  </si>
  <si>
    <t>LIDR740104DS7</t>
  </si>
  <si>
    <t>LIDR740104HVZNZM00</t>
  </si>
  <si>
    <t>045 2881320241</t>
  </si>
  <si>
    <t>NICOLAS BRAVO NO. 30</t>
  </si>
  <si>
    <t>ACULA</t>
  </si>
  <si>
    <t>VER120880 E</t>
  </si>
  <si>
    <t>IBARRA VENTURA BONIFACIO</t>
  </si>
  <si>
    <t>IAVB740508685</t>
  </si>
  <si>
    <t>IAVB740508HASBNN06</t>
  </si>
  <si>
    <t>045 6642424072</t>
  </si>
  <si>
    <t>FRAY PEDRO DE GANTE NO. 205 A</t>
  </si>
  <si>
    <t>NUEVA ESPAÃ‘A</t>
  </si>
  <si>
    <t>QRO05634 B-E</t>
  </si>
  <si>
    <t>ROSAS SANCHEZ MIGUEL ANGEL</t>
  </si>
  <si>
    <t>ROSM780606V93</t>
  </si>
  <si>
    <t>ROSM780606HMCSNG08</t>
  </si>
  <si>
    <t>044 5584012839</t>
  </si>
  <si>
    <t>24 #1610-3</t>
  </si>
  <si>
    <t>FRACCIONAMIENTO SANTA MARIA</t>
  </si>
  <si>
    <t>DF00226189 E</t>
  </si>
  <si>
    <t>PADILLA CRUZ BERNARDO</t>
  </si>
  <si>
    <t>PACB800920NP0</t>
  </si>
  <si>
    <t>PACB800920HPLDRR09</t>
  </si>
  <si>
    <t>045 7752009162</t>
  </si>
  <si>
    <t>CALLE 9 NO. 225</t>
  </si>
  <si>
    <t>PLEASCENTON</t>
  </si>
  <si>
    <t>TULANCINGO</t>
  </si>
  <si>
    <t>VER127491 B-E</t>
  </si>
  <si>
    <t>BAUTISTA CAMACHO ALEJANDRO</t>
  </si>
  <si>
    <t>BACA750308A8A</t>
  </si>
  <si>
    <t>BACA750308HMCTML09</t>
  </si>
  <si>
    <t>044 5514098263; 044 5522711175</t>
  </si>
  <si>
    <t>PASEO DE LA CANELA MZ.5 LT.71</t>
  </si>
  <si>
    <t>CONJ. URBANO SANTA FE</t>
  </si>
  <si>
    <t>DF00122832 B-E</t>
  </si>
  <si>
    <t>HERNANDEZ CRUZ FRANCISCO JAVIER</t>
  </si>
  <si>
    <t>HECF890312QR7</t>
  </si>
  <si>
    <t>HECF890312HHGRRR02</t>
  </si>
  <si>
    <t>044 5554633731</t>
  </si>
  <si>
    <t>PLUTARCO ELIAS CALLES NO. 602</t>
  </si>
  <si>
    <t>VER0208671 E</t>
  </si>
  <si>
    <t>ESLAVA TOLENTINO SERGIO</t>
  </si>
  <si>
    <t>EATS740302TP3</t>
  </si>
  <si>
    <t>EATS740302HDFSLR02</t>
  </si>
  <si>
    <t>045 7791152827</t>
  </si>
  <si>
    <t>MALINTZIN MZ.232 LT.52</t>
  </si>
  <si>
    <t>CD. AZTECA</t>
  </si>
  <si>
    <t>DF00147162 E</t>
  </si>
  <si>
    <t>ROBLES MANRIQUE IVAN</t>
  </si>
  <si>
    <t>ROMI810710PQ8</t>
  </si>
  <si>
    <t>ROMI810710HGRBNV08</t>
  </si>
  <si>
    <t>045 7441702624</t>
  </si>
  <si>
    <t>RIO BRAVO, S/N</t>
  </si>
  <si>
    <t>LOMAS DE SAN JUAN</t>
  </si>
  <si>
    <t>ACAPULCO DE JUAREZ</t>
  </si>
  <si>
    <t>GRO0005045 E</t>
  </si>
  <si>
    <t>LEON PEREZ LUIS MARGARITO</t>
  </si>
  <si>
    <t>LEPL690710PP3</t>
  </si>
  <si>
    <t>LEPL690710HDFNRS04</t>
  </si>
  <si>
    <t>044 5572863723</t>
  </si>
  <si>
    <t>VICENTE GUERRERO NO. 213</t>
  </si>
  <si>
    <t>SAN MARTIN AZCATEPEC</t>
  </si>
  <si>
    <t>TECAMAC</t>
  </si>
  <si>
    <t>DF00205078 B E</t>
  </si>
  <si>
    <t>AMADOR AVELAR JOSE MARIO</t>
  </si>
  <si>
    <t>AAAM670212AG4</t>
  </si>
  <si>
    <t>AAAM670212HDFMVR06</t>
  </si>
  <si>
    <t>CALLE 5, NÂ° 13</t>
  </si>
  <si>
    <t>JARDINES DE CASA NUEVA</t>
  </si>
  <si>
    <t>DF00228811</t>
  </si>
  <si>
    <t>JIMENEZ TOLEDO GUILLERMO ANTONIO</t>
  </si>
  <si>
    <t>JITG670811U59</t>
  </si>
  <si>
    <t>JITG670811HOCMLL00</t>
  </si>
  <si>
    <t>045 9711612545</t>
  </si>
  <si>
    <t>ALVARO OBREGON NO. 12</t>
  </si>
  <si>
    <t>DEPORTIVA NORTE</t>
  </si>
  <si>
    <t>SALINA CRUZ</t>
  </si>
  <si>
    <t>OAX200010 E</t>
  </si>
  <si>
    <t>FIESCO PEREZ VICTOR MODESTO</t>
  </si>
  <si>
    <t>FIPV690615SI4</t>
  </si>
  <si>
    <t>FIPV690615HMCSRC01</t>
  </si>
  <si>
    <t>044 5523918513</t>
  </si>
  <si>
    <t>AV. INDEPENDENCIA 10</t>
  </si>
  <si>
    <t>SANTO TOMAS</t>
  </si>
  <si>
    <t>TEOLOYUCAN</t>
  </si>
  <si>
    <t>DF00219167 E</t>
  </si>
  <si>
    <t>ISLAS VELAZQUEZ GUILLERMO</t>
  </si>
  <si>
    <t>IAVG670210628</t>
  </si>
  <si>
    <t>IAVG670210HMCSLL03</t>
  </si>
  <si>
    <t>AV. NEZAHUALCOYOTL, #25</t>
  </si>
  <si>
    <t>VER112698 BE</t>
  </si>
  <si>
    <t>ARREDONDO ESTRADA JUAN CARLOS</t>
  </si>
  <si>
    <t>AEEJ740424HDFRSN06</t>
  </si>
  <si>
    <t>CDA DE PARQUE, COND. 4, CASA D7, MZ2, LT 1</t>
  </si>
  <si>
    <t>PARQUE DE SAN PABLO</t>
  </si>
  <si>
    <t>DF00152154 BE</t>
  </si>
  <si>
    <t>SANCHEZ RAMIREZ RICARDO</t>
  </si>
  <si>
    <t>SARR870213HMCNMC07</t>
  </si>
  <si>
    <t>CEREZO MZ 14, LT 30</t>
  </si>
  <si>
    <t>EJIDOS DE SAN CRISTOBAL</t>
  </si>
  <si>
    <t>DF00140901 BE</t>
  </si>
  <si>
    <t>SOBERANES SANTA ROSA PEDRO</t>
  </si>
  <si>
    <t>SOSP751027HMCBND03</t>
  </si>
  <si>
    <t>BELIZARIO DOMINGUEZ 317 B</t>
  </si>
  <si>
    <t>SAN PEDRO XALOSTOC</t>
  </si>
  <si>
    <t>HGO00450 E</t>
  </si>
  <si>
    <t>SANTOS RIOS AGUSTIN</t>
  </si>
  <si>
    <t>SARA810508EY7</t>
  </si>
  <si>
    <t>SARA810508HJCNSG08</t>
  </si>
  <si>
    <t>VICTORIANO NUÃ‘EZ, #12</t>
  </si>
  <si>
    <t>ZAPOPAN</t>
  </si>
  <si>
    <t>JAL0025462 BE</t>
  </si>
  <si>
    <t>GONZALEZ PEREZ SATURNINO</t>
  </si>
  <si>
    <t>GOPS6805029M9</t>
  </si>
  <si>
    <t>GOPS680502HHGNRT07</t>
  </si>
  <si>
    <t>PACHUCA LOTE 85</t>
  </si>
  <si>
    <t>EL PRESIDIO</t>
  </si>
  <si>
    <t>ATENCO</t>
  </si>
  <si>
    <t>DF110674 BE</t>
  </si>
  <si>
    <t>MARTINEZ RAMIREZ LORENZO</t>
  </si>
  <si>
    <t>MARL831122LR7</t>
  </si>
  <si>
    <t>MARL831122HCHRMR05</t>
  </si>
  <si>
    <t>MARTIN LOPEZ</t>
  </si>
  <si>
    <t>DIVISION DEL NORTE</t>
  </si>
  <si>
    <t>LAGUNES LANDA JULIO CESAR</t>
  </si>
  <si>
    <t>DESKTOP-3VH2BKJ</t>
  </si>
  <si>
    <t>LALJ681103HVZGNL02</t>
  </si>
  <si>
    <t>BERNARDINO DE SAUL NÂ° 29</t>
  </si>
  <si>
    <t>VER106413 BE</t>
  </si>
  <si>
    <t>RIVERA REYES LUIS ALBERTO</t>
  </si>
  <si>
    <t>RIRL721105HMCVYS06</t>
  </si>
  <si>
    <t>FERNANDO FERNANDEZ MZ 6 LT 7</t>
  </si>
  <si>
    <t>LUIS DONALDO COLOSIO</t>
  </si>
  <si>
    <t>DF00218746 BCE</t>
  </si>
  <si>
    <t>ORTEGA RUIZ JOSE PABLO</t>
  </si>
  <si>
    <t>DESKTOP-TGC6518</t>
  </si>
  <si>
    <t>OERP670629117</t>
  </si>
  <si>
    <t>OERP670629HPLRZB01</t>
  </si>
  <si>
    <t>CALLE 5\"A\"#22</t>
  </si>
  <si>
    <t>PUE0001654 BE</t>
  </si>
  <si>
    <t>VICTORIANO MENDEZ SERVANDO</t>
  </si>
  <si>
    <t>VIMS750920QL9</t>
  </si>
  <si>
    <t>VIMS750920HVZCNR07</t>
  </si>
  <si>
    <t>ROMULO DE LA VEGA 25</t>
  </si>
  <si>
    <t>VER112210 E</t>
  </si>
  <si>
    <t>GAYOSSO ROMERO ALFREDO</t>
  </si>
  <si>
    <t>GARA7909307PA</t>
  </si>
  <si>
    <t>GARA790930HPLYML00</t>
  </si>
  <si>
    <t>GLORIETA DE ETIOPIA MZ-555 LT-1</t>
  </si>
  <si>
    <t>DF125432 E</t>
  </si>
  <si>
    <t>GURROLA GOMEZ JOSE MANUEL</t>
  </si>
  <si>
    <t>GUGM830922H20</t>
  </si>
  <si>
    <t>GUGM830922HCHRMN02</t>
  </si>
  <si>
    <t>SATELITE #9439</t>
  </si>
  <si>
    <t>FRACCIONAMIENTO JARDINES DE AEROPUERTO</t>
  </si>
  <si>
    <t>CHIH205454</t>
  </si>
  <si>
    <t>ESCALANTE MENDEZ LUIS EDUARDO</t>
  </si>
  <si>
    <t>EAML9208138Q7</t>
  </si>
  <si>
    <t>EAML920813HTCSNS02</t>
  </si>
  <si>
    <t>PABLADO TULIPAN</t>
  </si>
  <si>
    <t>TULIPAN</t>
  </si>
  <si>
    <t>CUNDUACÃN</t>
  </si>
  <si>
    <t>TAB0008977</t>
  </si>
  <si>
    <t>FLORES MENDEZ ADOLFO</t>
  </si>
  <si>
    <t>FOMA801112C83</t>
  </si>
  <si>
    <t>FOMA801112HDFLND07</t>
  </si>
  <si>
    <t>1ER PV DEL MOLINO #101</t>
  </si>
  <si>
    <t>RANCHO DON ANTONIO</t>
  </si>
  <si>
    <t>DF00153478 E</t>
  </si>
  <si>
    <t>MENDOZA HERNANDEZ CESAR ENRIQUE</t>
  </si>
  <si>
    <t>MEHC710304RW7</t>
  </si>
  <si>
    <t>MEHC710304HDFNRS03|</t>
  </si>
  <si>
    <t>GUADALUPE 51</t>
  </si>
  <si>
    <t>UNIDAD HAB. SANTA INES</t>
  </si>
  <si>
    <t>MORO1581 EB</t>
  </si>
  <si>
    <t>GUTIERREZ VILLEGAS JESUS ABRAHAM</t>
  </si>
  <si>
    <t>GUVJ850607BP3</t>
  </si>
  <si>
    <t>GUVJ850507HCHTLS09</t>
  </si>
  <si>
    <t>C. ARQUIMIDES WALTER GRODIUS # 2111</t>
  </si>
  <si>
    <t>HORIZONTE DEL SUR</t>
  </si>
  <si>
    <t>CHIH221549 BE</t>
  </si>
  <si>
    <t>PEREZ SANCHEZ EDGAR</t>
  </si>
  <si>
    <t>PESE8503029G4</t>
  </si>
  <si>
    <t>PESE850302HDFRND04</t>
  </si>
  <si>
    <t>DOSANTE, LOTE 6, MZ 12 INT 2</t>
  </si>
  <si>
    <t>FRACCIONAMIENTO REAL DEL CID</t>
  </si>
  <si>
    <t>DF00143582 E</t>
  </si>
  <si>
    <t>ALAMILLA ARIAS SALOMON</t>
  </si>
  <si>
    <t>AAAS740816RH1</t>
  </si>
  <si>
    <t>AAAS740816HDFLRL06</t>
  </si>
  <si>
    <t>FRANCISCO I MADERO, NÂ°52</t>
  </si>
  <si>
    <t>EL CARMEN</t>
  </si>
  <si>
    <t>DF00132374 E</t>
  </si>
  <si>
    <t>GONZALEZ NARANJO CARLOS</t>
  </si>
  <si>
    <t>GONC7011044EA</t>
  </si>
  <si>
    <t>GONC701104HPLNRR07</t>
  </si>
  <si>
    <t>CARRETEREA MEXICO TUXPAN</t>
  </si>
  <si>
    <t>LINDERO</t>
  </si>
  <si>
    <t>VER0205434 BE</t>
  </si>
  <si>
    <t>SOTO ZARATE JUAN FRANCISCO</t>
  </si>
  <si>
    <t>SOZJ721004T67</t>
  </si>
  <si>
    <t>SOZJ721004HSRTRN02</t>
  </si>
  <si>
    <t>BAJA CALIFORNIA NO. 207</t>
  </si>
  <si>
    <t>SAN FERNANDO</t>
  </si>
  <si>
    <t>BENJAMIN HILL</t>
  </si>
  <si>
    <t>SON0004204 E</t>
  </si>
  <si>
    <t>ALCANTARA</t>
  </si>
  <si>
    <t>ROA</t>
  </si>
  <si>
    <t>ALBINO</t>
  </si>
  <si>
    <t>ALMEIDA</t>
  </si>
  <si>
    <t>CRUZ</t>
  </si>
  <si>
    <t>ALADINO</t>
  </si>
  <si>
    <t>LINALDI</t>
  </si>
  <si>
    <t>LUIS</t>
  </si>
  <si>
    <t>ANTONIO</t>
  </si>
  <si>
    <t>AMAYA</t>
  </si>
  <si>
    <t>FLORES</t>
  </si>
  <si>
    <t>JUAN</t>
  </si>
  <si>
    <t>FRANCISCO</t>
  </si>
  <si>
    <t>APODACA</t>
  </si>
  <si>
    <t>MENDOZA</t>
  </si>
  <si>
    <t>ALEJANDRO</t>
  </si>
  <si>
    <t>SERGIO</t>
  </si>
  <si>
    <t>ARGUETA</t>
  </si>
  <si>
    <t>HERNANDEZ</t>
  </si>
  <si>
    <t>ALFONSO</t>
  </si>
  <si>
    <t>VARGAS</t>
  </si>
  <si>
    <t>FERNANDO</t>
  </si>
  <si>
    <t>AVILA</t>
  </si>
  <si>
    <t>RODRIGUEZ</t>
  </si>
  <si>
    <t>JAVIER</t>
  </si>
  <si>
    <t>AYALA</t>
  </si>
  <si>
    <t>OSUNA</t>
  </si>
  <si>
    <t>ROSARIO</t>
  </si>
  <si>
    <t>BLANCAS</t>
  </si>
  <si>
    <t>RAMIREZ</t>
  </si>
  <si>
    <t>DAVID</t>
  </si>
  <si>
    <t>BUSTOS</t>
  </si>
  <si>
    <t>TAPIA</t>
  </si>
  <si>
    <t>JOSE</t>
  </si>
  <si>
    <t>ANDRES</t>
  </si>
  <si>
    <t>CARBAJAL</t>
  </si>
  <si>
    <t>TORRES</t>
  </si>
  <si>
    <t>EDMUNDO</t>
  </si>
  <si>
    <t>CARRILLO</t>
  </si>
  <si>
    <t>ALVAREZ</t>
  </si>
  <si>
    <t>GERARDO</t>
  </si>
  <si>
    <t>CASTRO</t>
  </si>
  <si>
    <t>OSCAR</t>
  </si>
  <si>
    <t>CASARRUBIAS</t>
  </si>
  <si>
    <t>DIAZ</t>
  </si>
  <si>
    <t>MANUEL</t>
  </si>
  <si>
    <t>CASAS</t>
  </si>
  <si>
    <t>IGNACIO</t>
  </si>
  <si>
    <t>GABRIEL</t>
  </si>
  <si>
    <t>REYES</t>
  </si>
  <si>
    <t>CASTILLO</t>
  </si>
  <si>
    <t>TREVIZO</t>
  </si>
  <si>
    <t>JULIO</t>
  </si>
  <si>
    <t>CESAR</t>
  </si>
  <si>
    <t>CAZARES</t>
  </si>
  <si>
    <t>VIVAR</t>
  </si>
  <si>
    <t>MARCELO</t>
  </si>
  <si>
    <t>CEDILLO</t>
  </si>
  <si>
    <t>VIOLANTE</t>
  </si>
  <si>
    <t>CHAVEZ</t>
  </si>
  <si>
    <t>REY</t>
  </si>
  <si>
    <t>SALVADOR</t>
  </si>
  <si>
    <t>ROBLES</t>
  </si>
  <si>
    <t>RICARDO</t>
  </si>
  <si>
    <t>COTA</t>
  </si>
  <si>
    <t>LERMA</t>
  </si>
  <si>
    <t>RAMON</t>
  </si>
  <si>
    <t>ARTURO</t>
  </si>
  <si>
    <t>MIRELES</t>
  </si>
  <si>
    <t>MAURICIO</t>
  </si>
  <si>
    <t>MARTINEZ</t>
  </si>
  <si>
    <t>ESPINOZA</t>
  </si>
  <si>
    <t>GONZALEZ</t>
  </si>
  <si>
    <t>GONZALO</t>
  </si>
  <si>
    <t>GALVAN</t>
  </si>
  <si>
    <t>NAVARRO</t>
  </si>
  <si>
    <t>FELIX</t>
  </si>
  <si>
    <t>PATRICIO</t>
  </si>
  <si>
    <t>GARCIA</t>
  </si>
  <si>
    <t>MARTIN</t>
  </si>
  <si>
    <t>FAVELA</t>
  </si>
  <si>
    <t>RODRIGO</t>
  </si>
  <si>
    <t>GOMEZ</t>
  </si>
  <si>
    <t>OROZCO</t>
  </si>
  <si>
    <t>RAYMUNDO</t>
  </si>
  <si>
    <t>ISIDRO</t>
  </si>
  <si>
    <t>OCHOA</t>
  </si>
  <si>
    <t>VICTOR</t>
  </si>
  <si>
    <t>GUTIERREZ</t>
  </si>
  <si>
    <t>JESUS</t>
  </si>
  <si>
    <t>REFUGIO</t>
  </si>
  <si>
    <t>ELIZALDE</t>
  </si>
  <si>
    <t>BAUTISTA</t>
  </si>
  <si>
    <t>JERMAN</t>
  </si>
  <si>
    <t>ULLOA</t>
  </si>
  <si>
    <t>ROBERTO</t>
  </si>
  <si>
    <t>CARLOS</t>
  </si>
  <si>
    <t>HERRERA</t>
  </si>
  <si>
    <t>ANDAZOLA</t>
  </si>
  <si>
    <t>ARNULFO</t>
  </si>
  <si>
    <t>JIMENEZ</t>
  </si>
  <si>
    <t>MARGARITO</t>
  </si>
  <si>
    <t>ENRIQUE</t>
  </si>
  <si>
    <t>MARIANO</t>
  </si>
  <si>
    <t>LOYA</t>
  </si>
  <si>
    <t>NEVAREZ</t>
  </si>
  <si>
    <t>JORGE</t>
  </si>
  <si>
    <t>ALBERTO</t>
  </si>
  <si>
    <t>MALDONADO</t>
  </si>
  <si>
    <t>EDUARDO</t>
  </si>
  <si>
    <t>CANO</t>
  </si>
  <si>
    <t>QUINTANA</t>
  </si>
  <si>
    <t>ISMAEL</t>
  </si>
  <si>
    <t>HERIBERTO</t>
  </si>
  <si>
    <t>MAYORQUIN</t>
  </si>
  <si>
    <t>ROCHA</t>
  </si>
  <si>
    <t>MEDRANO</t>
  </si>
  <si>
    <t>MEZA</t>
  </si>
  <si>
    <t>TOLEDO</t>
  </si>
  <si>
    <t>MIRANDA</t>
  </si>
  <si>
    <t>ARMENTA</t>
  </si>
  <si>
    <t>REMBERTO</t>
  </si>
  <si>
    <t>MOJARRO</t>
  </si>
  <si>
    <t>J</t>
  </si>
  <si>
    <t>GUADALUPE</t>
  </si>
  <si>
    <t>MONDACA</t>
  </si>
  <si>
    <t>ALFREDO</t>
  </si>
  <si>
    <t>MORALES</t>
  </si>
  <si>
    <t>DE</t>
  </si>
  <si>
    <t>MONTOYA</t>
  </si>
  <si>
    <t>RENDON</t>
  </si>
  <si>
    <t>MUÃ‘OZ</t>
  </si>
  <si>
    <t>MORA</t>
  </si>
  <si>
    <t>NIETO</t>
  </si>
  <si>
    <t>VICENTE</t>
  </si>
  <si>
    <t>OLEA</t>
  </si>
  <si>
    <t>EDEM</t>
  </si>
  <si>
    <t>ORTEGA</t>
  </si>
  <si>
    <t>RAUL</t>
  </si>
  <si>
    <t>ORTIZ</t>
  </si>
  <si>
    <t>TRIGUEROS</t>
  </si>
  <si>
    <t>PARRA</t>
  </si>
  <si>
    <t>MIRAMONTES</t>
  </si>
  <si>
    <t>PEREZ</t>
  </si>
  <si>
    <t>MENDEZ</t>
  </si>
  <si>
    <t>ESCOBAR</t>
  </si>
  <si>
    <t>PEDRO</t>
  </si>
  <si>
    <t>IVAN</t>
  </si>
  <si>
    <t>RICOY</t>
  </si>
  <si>
    <t>VERA</t>
  </si>
  <si>
    <t>ALVARO</t>
  </si>
  <si>
    <t>RIOS</t>
  </si>
  <si>
    <t>MONTALVO</t>
  </si>
  <si>
    <t>SALINAS</t>
  </si>
  <si>
    <t>RIVERA</t>
  </si>
  <si>
    <t>LOPEZ</t>
  </si>
  <si>
    <t>SOTELO</t>
  </si>
  <si>
    <t>UBALDO</t>
  </si>
  <si>
    <t>ROJAS</t>
  </si>
  <si>
    <t>RAMOS</t>
  </si>
  <si>
    <t>LINO</t>
  </si>
  <si>
    <t>BENJAMIN</t>
  </si>
  <si>
    <t>RONQUILLO</t>
  </si>
  <si>
    <t>GUSTAVO</t>
  </si>
  <si>
    <t>ROSAS</t>
  </si>
  <si>
    <t>GERMAN</t>
  </si>
  <si>
    <t>PAREDES</t>
  </si>
  <si>
    <t>SANCHEZ</t>
  </si>
  <si>
    <t>PORTILLO</t>
  </si>
  <si>
    <t>ABRAHAM</t>
  </si>
  <si>
    <t>SANTOS</t>
  </si>
  <si>
    <t>MATIAS</t>
  </si>
  <si>
    <t>JUSTO</t>
  </si>
  <si>
    <t>TREJO</t>
  </si>
  <si>
    <t>AGUILAR</t>
  </si>
  <si>
    <t>VELAZQUEZ</t>
  </si>
  <si>
    <t>LUNA</t>
  </si>
  <si>
    <t>VIRUEGA</t>
  </si>
  <si>
    <t>BALDOMERO</t>
  </si>
  <si>
    <t>EDGAR</t>
  </si>
  <si>
    <t>MORENO</t>
  </si>
  <si>
    <t>DORANTES</t>
  </si>
  <si>
    <t>RAMIRO</t>
  </si>
  <si>
    <t>SPINDOLA</t>
  </si>
  <si>
    <t>BLANCO</t>
  </si>
  <si>
    <t>ROMAN</t>
  </si>
  <si>
    <t>HECTOR</t>
  </si>
  <si>
    <t>ESTEBAN</t>
  </si>
  <si>
    <t>CASTAÃ‘EDA</t>
  </si>
  <si>
    <t>LA</t>
  </si>
  <si>
    <t>ROSA</t>
  </si>
  <si>
    <t>JAIME</t>
  </si>
  <si>
    <t>DÃŒAZ</t>
  </si>
  <si>
    <t>MIGUEL</t>
  </si>
  <si>
    <t>ANGEL</t>
  </si>
  <si>
    <t>VELEZ</t>
  </si>
  <si>
    <t>URSUEGUIA</t>
  </si>
  <si>
    <t>ESTRELLA</t>
  </si>
  <si>
    <t>GALLARDO</t>
  </si>
  <si>
    <t>JULIAN</t>
  </si>
  <si>
    <t>BEJARANO</t>
  </si>
  <si>
    <t>HERMIDA</t>
  </si>
  <si>
    <t>OSWALDO</t>
  </si>
  <si>
    <t>MERINO</t>
  </si>
  <si>
    <t>ALVARADO</t>
  </si>
  <si>
    <t>CEBALLOS</t>
  </si>
  <si>
    <t>CUEVAS</t>
  </si>
  <si>
    <t>DELGADO</t>
  </si>
  <si>
    <t>BERMUDEZ</t>
  </si>
  <si>
    <t>ROLANDO</t>
  </si>
  <si>
    <t>CERECERO</t>
  </si>
  <si>
    <t>TENORIO</t>
  </si>
  <si>
    <t>FABIAN</t>
  </si>
  <si>
    <t>ARMANDO</t>
  </si>
  <si>
    <t>MANZANAREZ</t>
  </si>
  <si>
    <t>ALDAY</t>
  </si>
  <si>
    <t>LUCIO</t>
  </si>
  <si>
    <t>NAVARRETE</t>
  </si>
  <si>
    <t>RUIZ</t>
  </si>
  <si>
    <t>AURELIO</t>
  </si>
  <si>
    <t>ERNESTO</t>
  </si>
  <si>
    <t>SOTO</t>
  </si>
  <si>
    <t>ZARATE</t>
  </si>
  <si>
    <t>ACEVEDO</t>
  </si>
  <si>
    <t>CAMPOS</t>
  </si>
  <si>
    <t>RENE</t>
  </si>
  <si>
    <t>ALONSO</t>
  </si>
  <si>
    <t>PEÃ‘A</t>
  </si>
  <si>
    <t>ADOLFO</t>
  </si>
  <si>
    <t>GREGORIO</t>
  </si>
  <si>
    <t>ARCOS</t>
  </si>
  <si>
    <t>ARIAS</t>
  </si>
  <si>
    <t>RIVERO</t>
  </si>
  <si>
    <t>NOE</t>
  </si>
  <si>
    <t>BARCENAS</t>
  </si>
  <si>
    <t>BARRERA</t>
  </si>
  <si>
    <t>CORTEZ</t>
  </si>
  <si>
    <t>CARMONA</t>
  </si>
  <si>
    <t>GIL</t>
  </si>
  <si>
    <t>CIPRIANO</t>
  </si>
  <si>
    <t>CONTRERAS</t>
  </si>
  <si>
    <t>NAJERA</t>
  </si>
  <si>
    <t>ALEXANDER</t>
  </si>
  <si>
    <t>AARON</t>
  </si>
  <si>
    <t>DUARTE</t>
  </si>
  <si>
    <t>IGLESIAS</t>
  </si>
  <si>
    <t>GARATACHIA</t>
  </si>
  <si>
    <t>GAYTAN</t>
  </si>
  <si>
    <t>HURTADO</t>
  </si>
  <si>
    <t>ESQUIVEL</t>
  </si>
  <si>
    <t>OMAR</t>
  </si>
  <si>
    <t>CORTES</t>
  </si>
  <si>
    <t>MOISES</t>
  </si>
  <si>
    <t>GALLEGOS</t>
  </si>
  <si>
    <t>WALTER</t>
  </si>
  <si>
    <t>MELGOZA</t>
  </si>
  <si>
    <t>SALAS</t>
  </si>
  <si>
    <t>MONTIEL</t>
  </si>
  <si>
    <t>MORTERA</t>
  </si>
  <si>
    <t>NAVA</t>
  </si>
  <si>
    <t>SOTERO</t>
  </si>
  <si>
    <t>POZOS</t>
  </si>
  <si>
    <t>OSORIO</t>
  </si>
  <si>
    <t>XOCHIPA</t>
  </si>
  <si>
    <t>CIRILO</t>
  </si>
  <si>
    <t>ELIAS</t>
  </si>
  <si>
    <t>REYNOSO</t>
  </si>
  <si>
    <t>URIAS</t>
  </si>
  <si>
    <t>ISAIAS</t>
  </si>
  <si>
    <t>CADENA</t>
  </si>
  <si>
    <t>ESCALANTE</t>
  </si>
  <si>
    <t>QUIROGA</t>
  </si>
  <si>
    <t>DEL</t>
  </si>
  <si>
    <t>CARMEN</t>
  </si>
  <si>
    <t>VALENTE</t>
  </si>
  <si>
    <t>AGUSTIN</t>
  </si>
  <si>
    <t>J.L.</t>
  </si>
  <si>
    <t>ABURTO</t>
  </si>
  <si>
    <t>Aguilar</t>
  </si>
  <si>
    <t>MuÃ±oz</t>
  </si>
  <si>
    <t>Sergio</t>
  </si>
  <si>
    <t>Amador</t>
  </si>
  <si>
    <t>Hugo</t>
  </si>
  <si>
    <t>Alcantar</t>
  </si>
  <si>
    <t>Porras</t>
  </si>
  <si>
    <t>Polo</t>
  </si>
  <si>
    <t>Armando</t>
  </si>
  <si>
    <t>Banda</t>
  </si>
  <si>
    <t>Juarez</t>
  </si>
  <si>
    <t>Arturo</t>
  </si>
  <si>
    <t>Elias</t>
  </si>
  <si>
    <t>Carrillo</t>
  </si>
  <si>
    <t>Castro</t>
  </si>
  <si>
    <t>Oscar</t>
  </si>
  <si>
    <t>Martinez</t>
  </si>
  <si>
    <t>Alvarez</t>
  </si>
  <si>
    <t>Jose</t>
  </si>
  <si>
    <t>Luis</t>
  </si>
  <si>
    <t>Roman</t>
  </si>
  <si>
    <t>Miranda</t>
  </si>
  <si>
    <t>Armenta</t>
  </si>
  <si>
    <t>Manuel</t>
  </si>
  <si>
    <t>Remberto</t>
  </si>
  <si>
    <t>Moreno</t>
  </si>
  <si>
    <t>Juan</t>
  </si>
  <si>
    <t>Gomez</t>
  </si>
  <si>
    <t>Lucio</t>
  </si>
  <si>
    <t>Pedraza</t>
  </si>
  <si>
    <t>Estrada</t>
  </si>
  <si>
    <t>Domingo</t>
  </si>
  <si>
    <t>Nieva</t>
  </si>
  <si>
    <t>Tlaseca</t>
  </si>
  <si>
    <t>Quiroz</t>
  </si>
  <si>
    <t>GARDUÃ‘O</t>
  </si>
  <si>
    <t>HUESCA</t>
  </si>
  <si>
    <t>NUÃ‘EZ</t>
  </si>
  <si>
    <t>BERNARDO</t>
  </si>
  <si>
    <t>JASSO</t>
  </si>
  <si>
    <t>MELENDEZ</t>
  </si>
  <si>
    <t>DELGADILLO</t>
  </si>
  <si>
    <t>DEMETRIO</t>
  </si>
  <si>
    <t>MARTNEZ</t>
  </si>
  <si>
    <t>J.</t>
  </si>
  <si>
    <t>BERRIOS</t>
  </si>
  <si>
    <t>PINEDA</t>
  </si>
  <si>
    <t>CAMILO</t>
  </si>
  <si>
    <t>MONTES</t>
  </si>
  <si>
    <t>MISAEL</t>
  </si>
  <si>
    <t>MARCOS</t>
  </si>
  <si>
    <t>ROMERO</t>
  </si>
  <si>
    <t>RUBEN</t>
  </si>
  <si>
    <t>CHULIM</t>
  </si>
  <si>
    <t>CIREROL</t>
  </si>
  <si>
    <t>ALMANZA</t>
  </si>
  <si>
    <t>JHONNY</t>
  </si>
  <si>
    <t>CARMELO</t>
  </si>
  <si>
    <t>SOLORZANO</t>
  </si>
  <si>
    <t>BARRIGA</t>
  </si>
  <si>
    <t>SABAS</t>
  </si>
  <si>
    <t>VAZQUEZ</t>
  </si>
  <si>
    <t>LUGO</t>
  </si>
  <si>
    <t>LIRA</t>
  </si>
  <si>
    <t>CARRAZCO</t>
  </si>
  <si>
    <t>OLMOS</t>
  </si>
  <si>
    <t>GUILLERMO</t>
  </si>
  <si>
    <t>PALACIOS</t>
  </si>
  <si>
    <t>TEJEDA</t>
  </si>
  <si>
    <t>GARNICA</t>
  </si>
  <si>
    <t>ANDRADE</t>
  </si>
  <si>
    <t>FIDEL</t>
  </si>
  <si>
    <t>MARCO</t>
  </si>
  <si>
    <t>MEJIA</t>
  </si>
  <si>
    <t>MONTERROSA</t>
  </si>
  <si>
    <t>BARRIOS</t>
  </si>
  <si>
    <t>MARAÃ‘ON</t>
  </si>
  <si>
    <t>AMAURY</t>
  </si>
  <si>
    <t>LEAL</t>
  </si>
  <si>
    <t>RAFAEL</t>
  </si>
  <si>
    <t>CANALES</t>
  </si>
  <si>
    <t>SANTIAGO</t>
  </si>
  <si>
    <t>ENGRANDE</t>
  </si>
  <si>
    <t>ROSENDO</t>
  </si>
  <si>
    <t>ARAM</t>
  </si>
  <si>
    <t>LAURO</t>
  </si>
  <si>
    <t>BAÃ‘UELOS</t>
  </si>
  <si>
    <t>SILVA</t>
  </si>
  <si>
    <t>CAMPBELL</t>
  </si>
  <si>
    <t>CARRASCO</t>
  </si>
  <si>
    <t>DOMINGUEZ</t>
  </si>
  <si>
    <t>PRISCILIANO</t>
  </si>
  <si>
    <t>VILLAZANA</t>
  </si>
  <si>
    <t>ARTEAGA</t>
  </si>
  <si>
    <t>ESQUER</t>
  </si>
  <si>
    <t>ADAN</t>
  </si>
  <si>
    <t>ABEL</t>
  </si>
  <si>
    <t>OLVERASOLIS</t>
  </si>
  <si>
    <t>FLAVIO</t>
  </si>
  <si>
    <t>MURILLO</t>
  </si>
  <si>
    <t>CASTELLANOS</t>
  </si>
  <si>
    <t>BOJORQUEZ</t>
  </si>
  <si>
    <t>AQUINO</t>
  </si>
  <si>
    <t>BAZAN</t>
  </si>
  <si>
    <t>ROSALES</t>
  </si>
  <si>
    <t>REMIGIO</t>
  </si>
  <si>
    <t>IBARRA</t>
  </si>
  <si>
    <t>VENTURA</t>
  </si>
  <si>
    <t>BONIFACIO</t>
  </si>
  <si>
    <t>PADILLA</t>
  </si>
  <si>
    <t>CAMACHO</t>
  </si>
  <si>
    <t>ESLAVA</t>
  </si>
  <si>
    <t>TOLENTINO</t>
  </si>
  <si>
    <t>MANRIQUE</t>
  </si>
  <si>
    <t>LEON</t>
  </si>
  <si>
    <t>AMADOR</t>
  </si>
  <si>
    <t>AVELAR</t>
  </si>
  <si>
    <t>MARIO</t>
  </si>
  <si>
    <t>FIESCO</t>
  </si>
  <si>
    <t>MODESTO</t>
  </si>
  <si>
    <t>ISLAS</t>
  </si>
  <si>
    <t>ARREDONDO</t>
  </si>
  <si>
    <t>ESTRADA</t>
  </si>
  <si>
    <t>SOBERANES</t>
  </si>
  <si>
    <t>SANTA</t>
  </si>
  <si>
    <t>SATURNINO</t>
  </si>
  <si>
    <t>LORENZO</t>
  </si>
  <si>
    <t>LAGUNES</t>
  </si>
  <si>
    <t>LANDA</t>
  </si>
  <si>
    <t>PABLO</t>
  </si>
  <si>
    <t>VICTORIANO</t>
  </si>
  <si>
    <t>SERVANDO</t>
  </si>
  <si>
    <t>GAYOSSO</t>
  </si>
  <si>
    <t>GURROLA</t>
  </si>
  <si>
    <t>VILLEGAS</t>
  </si>
  <si>
    <t>ALAMILLA</t>
  </si>
  <si>
    <t>SALOMON</t>
  </si>
  <si>
    <t>NARANJO</t>
  </si>
  <si>
    <t xml:space="preserve">ALBINO </t>
  </si>
  <si>
    <t xml:space="preserve">ALADINO </t>
  </si>
  <si>
    <t>LUIS ANTONIO</t>
  </si>
  <si>
    <t>JUAN FRANCISCO</t>
  </si>
  <si>
    <t xml:space="preserve">ALEJANDRO </t>
  </si>
  <si>
    <t xml:space="preserve">SERGIO </t>
  </si>
  <si>
    <t xml:space="preserve">ALFONSO </t>
  </si>
  <si>
    <t xml:space="preserve">FERNANDO </t>
  </si>
  <si>
    <t>JAVIER ANTONIO</t>
  </si>
  <si>
    <t xml:space="preserve">ROSARIO </t>
  </si>
  <si>
    <t xml:space="preserve">DAVID </t>
  </si>
  <si>
    <t>JOSE ANDRES</t>
  </si>
  <si>
    <t xml:space="preserve">EDMUNDO </t>
  </si>
  <si>
    <t xml:space="preserve">GERARDO </t>
  </si>
  <si>
    <t xml:space="preserve">OSCAR </t>
  </si>
  <si>
    <t>JOSE MANUEL</t>
  </si>
  <si>
    <t xml:space="preserve">IGNACIO </t>
  </si>
  <si>
    <t>JUAN GABRIEL</t>
  </si>
  <si>
    <t xml:space="preserve">REYES </t>
  </si>
  <si>
    <t>JULIO CESAR</t>
  </si>
  <si>
    <t xml:space="preserve">MARCELO </t>
  </si>
  <si>
    <t xml:space="preserve">JUAN </t>
  </si>
  <si>
    <t xml:space="preserve">SALVADOR </t>
  </si>
  <si>
    <t xml:space="preserve">RICARDO </t>
  </si>
  <si>
    <t>RAMON ARTURO</t>
  </si>
  <si>
    <t xml:space="preserve">MAURICIO </t>
  </si>
  <si>
    <t>JUAN ALEJANDRO</t>
  </si>
  <si>
    <t>JOSE GONZALO</t>
  </si>
  <si>
    <t>FELIX PATRICIO</t>
  </si>
  <si>
    <t xml:space="preserve">MARTIN </t>
  </si>
  <si>
    <t>RICARDO ALEJANDRO</t>
  </si>
  <si>
    <t xml:space="preserve">RODRIGO </t>
  </si>
  <si>
    <t xml:space="preserve">RAYMUNDO </t>
  </si>
  <si>
    <t xml:space="preserve">ISIDRO </t>
  </si>
  <si>
    <t xml:space="preserve">VICTOR </t>
  </si>
  <si>
    <t>JESUS REFUGIO</t>
  </si>
  <si>
    <t xml:space="preserve">MANUEL </t>
  </si>
  <si>
    <t xml:space="preserve">JERMAN </t>
  </si>
  <si>
    <t>ROBERTO CARLOS</t>
  </si>
  <si>
    <t xml:space="preserve">ARNULFO </t>
  </si>
  <si>
    <t xml:space="preserve">MARGARITO </t>
  </si>
  <si>
    <t xml:space="preserve">ENRIQUE </t>
  </si>
  <si>
    <t>JUAN JOSE</t>
  </si>
  <si>
    <t xml:space="preserve">MARIANO </t>
  </si>
  <si>
    <t>JORGE ALBERTO</t>
  </si>
  <si>
    <t xml:space="preserve">EDUARDO </t>
  </si>
  <si>
    <t>JOSE ENRIQUE</t>
  </si>
  <si>
    <t xml:space="preserve">JORGE </t>
  </si>
  <si>
    <t>JOSE OSCAR</t>
  </si>
  <si>
    <t xml:space="preserve">HERIBERTO </t>
  </si>
  <si>
    <t>FRANCISCO JAVIER</t>
  </si>
  <si>
    <t>JESUS MANUEL</t>
  </si>
  <si>
    <t>LUIS EDUARDO</t>
  </si>
  <si>
    <t>MANUEL REMBERTO</t>
  </si>
  <si>
    <t>J GUADALUPE</t>
  </si>
  <si>
    <t>JOSE ALFREDO</t>
  </si>
  <si>
    <t>JESUS ARTURO</t>
  </si>
  <si>
    <t xml:space="preserve">JAVIER </t>
  </si>
  <si>
    <t xml:space="preserve">ALBERTO </t>
  </si>
  <si>
    <t>SERGIO ALEJANDRO</t>
  </si>
  <si>
    <t xml:space="preserve">VICENTE </t>
  </si>
  <si>
    <t>JESUS EDEM</t>
  </si>
  <si>
    <t>RAUL FERNANDO</t>
  </si>
  <si>
    <t xml:space="preserve">GUADALUPE </t>
  </si>
  <si>
    <t>JOSE GUADALUPE</t>
  </si>
  <si>
    <t xml:space="preserve">PEDRO </t>
  </si>
  <si>
    <t>JOSE IVAN</t>
  </si>
  <si>
    <t xml:space="preserve">ALVARO </t>
  </si>
  <si>
    <t xml:space="preserve">GABRIEL </t>
  </si>
  <si>
    <t xml:space="preserve">RAUL </t>
  </si>
  <si>
    <t xml:space="preserve">UBALDO </t>
  </si>
  <si>
    <t>LINO BENJAMIN</t>
  </si>
  <si>
    <t xml:space="preserve">GUSTAVO </t>
  </si>
  <si>
    <t xml:space="preserve">GERMAN </t>
  </si>
  <si>
    <t>JESUS JOSE</t>
  </si>
  <si>
    <t xml:space="preserve">ABRAHAM </t>
  </si>
  <si>
    <t xml:space="preserve">JUSTO </t>
  </si>
  <si>
    <t>LUNA JOSE</t>
  </si>
  <si>
    <t>EDGAR ENRIQUE</t>
  </si>
  <si>
    <t>MORENO CASTRO</t>
  </si>
  <si>
    <t xml:space="preserve">RAMIRO </t>
  </si>
  <si>
    <t>DAVID ROMAN</t>
  </si>
  <si>
    <t>HECTOR ESTEBAN</t>
  </si>
  <si>
    <t>LA ROSA</t>
  </si>
  <si>
    <t>MIGUEL ANGEL</t>
  </si>
  <si>
    <t xml:space="preserve">CARLOS </t>
  </si>
  <si>
    <t xml:space="preserve">JULIAN </t>
  </si>
  <si>
    <t>VICTOR MANUEL</t>
  </si>
  <si>
    <t>ROBERTO OSWALDO</t>
  </si>
  <si>
    <t>JESUS JAVIER</t>
  </si>
  <si>
    <t>LUIS ARTURO</t>
  </si>
  <si>
    <t>JOSE CRUZ</t>
  </si>
  <si>
    <t xml:space="preserve">ROLANDO </t>
  </si>
  <si>
    <t>ISIDRO FABIAN</t>
  </si>
  <si>
    <t xml:space="preserve">SANTOS </t>
  </si>
  <si>
    <t xml:space="preserve">ARMANDO </t>
  </si>
  <si>
    <t>LUCIO ARTURO</t>
  </si>
  <si>
    <t>AURELIO ERNESTO</t>
  </si>
  <si>
    <t xml:space="preserve">JESUS </t>
  </si>
  <si>
    <t xml:space="preserve">RENE </t>
  </si>
  <si>
    <t>ADOLFO GREGORIO</t>
  </si>
  <si>
    <t xml:space="preserve">NOE </t>
  </si>
  <si>
    <t xml:space="preserve">FRANCISCO </t>
  </si>
  <si>
    <t>LUIS ALEXANDER</t>
  </si>
  <si>
    <t xml:space="preserve">AARON </t>
  </si>
  <si>
    <t>JOSE ANTONIO</t>
  </si>
  <si>
    <t xml:space="preserve">ANGEL </t>
  </si>
  <si>
    <t xml:space="preserve">OMAR </t>
  </si>
  <si>
    <t>OMAR MARTIN</t>
  </si>
  <si>
    <t xml:space="preserve">MOISES </t>
  </si>
  <si>
    <t xml:space="preserve">WALTER </t>
  </si>
  <si>
    <t xml:space="preserve">FELIX </t>
  </si>
  <si>
    <t>VICTOR ANTONIO</t>
  </si>
  <si>
    <t>LUIS ALFREDO</t>
  </si>
  <si>
    <t>JUAN RAMON</t>
  </si>
  <si>
    <t xml:space="preserve">EDGAR </t>
  </si>
  <si>
    <t>JUAN CARLOS</t>
  </si>
  <si>
    <t>SOTERO ALEJANDRO</t>
  </si>
  <si>
    <t xml:space="preserve">CIRILO </t>
  </si>
  <si>
    <t xml:space="preserve">ELIAS </t>
  </si>
  <si>
    <t xml:space="preserve">ISAIAS </t>
  </si>
  <si>
    <t>LUIS ENRIQUE</t>
  </si>
  <si>
    <t>MANUEL ANTONIO</t>
  </si>
  <si>
    <t>JOSE DEL</t>
  </si>
  <si>
    <t xml:space="preserve">AGUSTIN </t>
  </si>
  <si>
    <t xml:space="preserve"> </t>
  </si>
  <si>
    <t xml:space="preserve">RAMON </t>
  </si>
  <si>
    <t xml:space="preserve">Sergio </t>
  </si>
  <si>
    <t xml:space="preserve">Hugo </t>
  </si>
  <si>
    <t>Polo Armando</t>
  </si>
  <si>
    <t>Arturo Elias</t>
  </si>
  <si>
    <t xml:space="preserve">Oscar </t>
  </si>
  <si>
    <t>Jose Luis</t>
  </si>
  <si>
    <t xml:space="preserve">Roman </t>
  </si>
  <si>
    <t>Manuel Remberto</t>
  </si>
  <si>
    <t>Juan Manuel</t>
  </si>
  <si>
    <t>Lucio Arturo</t>
  </si>
  <si>
    <t xml:space="preserve">Domingo </t>
  </si>
  <si>
    <t xml:space="preserve">Luis </t>
  </si>
  <si>
    <t xml:space="preserve">Jose </t>
  </si>
  <si>
    <t xml:space="preserve">HECTOR </t>
  </si>
  <si>
    <t xml:space="preserve">JOSE </t>
  </si>
  <si>
    <t xml:space="preserve">ALFREDO </t>
  </si>
  <si>
    <t>JUAN LUIS</t>
  </si>
  <si>
    <t>JOSE BERNARDO</t>
  </si>
  <si>
    <t>JOSE JAVIER</t>
  </si>
  <si>
    <t xml:space="preserve">ROBERTO </t>
  </si>
  <si>
    <t xml:space="preserve">DEMETRIO </t>
  </si>
  <si>
    <t>LUIS ALBERTO</t>
  </si>
  <si>
    <t>MARTIN GERARDO</t>
  </si>
  <si>
    <t>J. FRANCISCO</t>
  </si>
  <si>
    <t>CRUZ BERRIOS</t>
  </si>
  <si>
    <t>CAMILO ALEJANDRO</t>
  </si>
  <si>
    <t xml:space="preserve">MISAEL </t>
  </si>
  <si>
    <t xml:space="preserve">MARCOS </t>
  </si>
  <si>
    <t xml:space="preserve">RUBEN </t>
  </si>
  <si>
    <t>JOSE ALBERTO</t>
  </si>
  <si>
    <t>JHONNY CARMELO</t>
  </si>
  <si>
    <t>JORGE ANTONIO</t>
  </si>
  <si>
    <t>SABAS ARTURO</t>
  </si>
  <si>
    <t>JOSE FRANCISCO</t>
  </si>
  <si>
    <t>JUAN ADOLFO</t>
  </si>
  <si>
    <t>PEDRO ARTURO</t>
  </si>
  <si>
    <t xml:space="preserve">GUILLERMO </t>
  </si>
  <si>
    <t>JUAN MANUEL</t>
  </si>
  <si>
    <t>JOSE LUIS</t>
  </si>
  <si>
    <t>GERARDO FIDEL</t>
  </si>
  <si>
    <t>MARCO ANTONIO</t>
  </si>
  <si>
    <t xml:space="preserve">ADOLFO </t>
  </si>
  <si>
    <t>HECTOR AMAURY</t>
  </si>
  <si>
    <t>GUSTAVO ALONSO</t>
  </si>
  <si>
    <t xml:space="preserve">RAFAEL </t>
  </si>
  <si>
    <t xml:space="preserve">SANTIAGO </t>
  </si>
  <si>
    <t>JULIO EDUARDO</t>
  </si>
  <si>
    <t>JUAN ROSENDO</t>
  </si>
  <si>
    <t>ARAM GERARDO</t>
  </si>
  <si>
    <t>ANGEL LAURO</t>
  </si>
  <si>
    <t xml:space="preserve">ANTONIO </t>
  </si>
  <si>
    <t>JOSE PRISCILIANO</t>
  </si>
  <si>
    <t>JESUS ERNESTO</t>
  </si>
  <si>
    <t>ADAN ABEL</t>
  </si>
  <si>
    <t>CESAR ALEJANDRO</t>
  </si>
  <si>
    <t xml:space="preserve">REMIGIO </t>
  </si>
  <si>
    <t xml:space="preserve">BONIFACIO </t>
  </si>
  <si>
    <t xml:space="preserve">BERNARDO </t>
  </si>
  <si>
    <t xml:space="preserve">IVAN </t>
  </si>
  <si>
    <t>LUIS MARGARITO</t>
  </si>
  <si>
    <t>JOSE MARIO</t>
  </si>
  <si>
    <t>GUILLERMO ANTONIO</t>
  </si>
  <si>
    <t>VICTOR MODESTO</t>
  </si>
  <si>
    <t>ROSA PEDRO</t>
  </si>
  <si>
    <t xml:space="preserve">SATURNINO </t>
  </si>
  <si>
    <t xml:space="preserve">LORENZO </t>
  </si>
  <si>
    <t>JOSE PABLO</t>
  </si>
  <si>
    <t xml:space="preserve">SERVANDO </t>
  </si>
  <si>
    <t>CESAR ENRIQUE</t>
  </si>
  <si>
    <t>JESUS ABRAHAM</t>
  </si>
  <si>
    <t xml:space="preserve">SALOMON </t>
  </si>
  <si>
    <t>SEXO</t>
  </si>
  <si>
    <t>GAHA780427HMCRRN08</t>
  </si>
  <si>
    <t>SOCJ660613HTLLRR08</t>
  </si>
  <si>
    <t>AARA560301K62</t>
  </si>
  <si>
    <t>AECA5903202P4</t>
  </si>
  <si>
    <t>AELL7905085I3</t>
  </si>
  <si>
    <t>AAFJ780523U11</t>
  </si>
  <si>
    <t>AOMA850507GA2</t>
  </si>
  <si>
    <t>AOMS840129H32</t>
  </si>
  <si>
    <t>AUHA551110C82</t>
  </si>
  <si>
    <t>AUVF590724KP8</t>
  </si>
  <si>
    <t>AIRJ700113MEA</t>
  </si>
  <si>
    <t>AAOR6404178B7</t>
  </si>
  <si>
    <t>BARD680708394</t>
  </si>
  <si>
    <t>BUTA610204AM2</t>
  </si>
  <si>
    <t>CATE610704CX9</t>
  </si>
  <si>
    <t>CAAG660709FC8</t>
  </si>
  <si>
    <t>CACX690203FN1</t>
  </si>
  <si>
    <t>CADM7103171Q7</t>
  </si>
  <si>
    <t>CAHI720505H10</t>
  </si>
  <si>
    <t>CAHJ760116P2A</t>
  </si>
  <si>
    <t>CAHR830106G31</t>
  </si>
  <si>
    <t>CATJ870314RI6</t>
  </si>
  <si>
    <t>CAVM650107GC8</t>
  </si>
  <si>
    <t>CEVJ590105UF1</t>
  </si>
  <si>
    <t>CARS650306</t>
  </si>
  <si>
    <t>CARR700827KF8</t>
  </si>
  <si>
    <t>COLR580114245</t>
  </si>
  <si>
    <t>CUMM7402219KA</t>
  </si>
  <si>
    <t>DIMJ660424DG5</t>
  </si>
  <si>
    <t>EIGG550909</t>
  </si>
  <si>
    <t>GACM671216HP5</t>
  </si>
  <si>
    <t>GARR900807</t>
  </si>
  <si>
    <t>GOOR680206QHA</t>
  </si>
  <si>
    <t>GOCI710515L70</t>
  </si>
  <si>
    <t>GUOV661223DW7</t>
  </si>
  <si>
    <t>GUCJ8508086Q0</t>
  </si>
  <si>
    <t>GUEM570310T41</t>
  </si>
  <si>
    <t>HEBJ8101183P7</t>
  </si>
  <si>
    <t>HEUR890902</t>
  </si>
  <si>
    <t>HEAA500507FF4</t>
  </si>
  <si>
    <t>JICM670126FT8</t>
  </si>
  <si>
    <t>LIME650302QR5</t>
  </si>
  <si>
    <t>LIMJ700519U4A</t>
  </si>
  <si>
    <t>LIMM66090977A</t>
  </si>
  <si>
    <t>LONJ650202KA0</t>
  </si>
  <si>
    <t>MAGE7309159C7</t>
  </si>
  <si>
    <t>MACE630715QY5</t>
  </si>
  <si>
    <t>MAQJ740404HA1</t>
  </si>
  <si>
    <t>MARO751228412</t>
  </si>
  <si>
    <t>MARF7711075D2</t>
  </si>
  <si>
    <t>MEHJ750224M23</t>
  </si>
  <si>
    <t>METL760605QM1</t>
  </si>
  <si>
    <t>MOGJ561212UZ1</t>
  </si>
  <si>
    <t>MOFA661228KQ5</t>
  </si>
  <si>
    <t>MOJA750702N21</t>
  </si>
  <si>
    <t>MOMG730130A15</t>
  </si>
  <si>
    <t>MORJ650505GA2</t>
  </si>
  <si>
    <t>MUHA620408</t>
  </si>
  <si>
    <t>NAMS631015V41</t>
  </si>
  <si>
    <t>NIGV6403127H5</t>
  </si>
  <si>
    <t>OEGJ810626A49</t>
  </si>
  <si>
    <t>OEGR661218DP1</t>
  </si>
  <si>
    <t>OITI640708CL9</t>
  </si>
  <si>
    <t>PAMG620830HCA</t>
  </si>
  <si>
    <t>PEMG630511</t>
  </si>
  <si>
    <t>QUEP811116NA5</t>
  </si>
  <si>
    <t>RAQI810921</t>
  </si>
  <si>
    <t>RIVA6906117AA</t>
  </si>
  <si>
    <t>RIMG860817NX0</t>
  </si>
  <si>
    <t>RISR450218LAA</t>
  </si>
  <si>
    <t>RILJ6205087Z6</t>
  </si>
  <si>
    <t>ROSU600604858</t>
  </si>
  <si>
    <t>RORL560923QM9</t>
  </si>
  <si>
    <t>ROOG690918</t>
  </si>
  <si>
    <t>ROCG760528BRA</t>
  </si>
  <si>
    <t>ROJL640116AA0</t>
  </si>
  <si>
    <t>ROPR731124180</t>
  </si>
  <si>
    <t>SAPJ741125JY5</t>
  </si>
  <si>
    <t>SASA7206276M2</t>
  </si>
  <si>
    <t>SAMJ720528EM0</t>
  </si>
  <si>
    <t>TEAE630412BR0</t>
  </si>
  <si>
    <t>VELD780814AS3</t>
  </si>
  <si>
    <t>VIBE730711</t>
  </si>
  <si>
    <t>DOGR560314T83</t>
  </si>
  <si>
    <t>SAHH8208314R1</t>
  </si>
  <si>
    <t>MARR680927UF4</t>
  </si>
  <si>
    <t>CARJ631123FE8</t>
  </si>
  <si>
    <t>HEDM720801FL9</t>
  </si>
  <si>
    <t>VEUA711019CVA</t>
  </si>
  <si>
    <t>EELC730824KG3</t>
  </si>
  <si>
    <t>GACJ800507753</t>
  </si>
  <si>
    <t>BEHV731230JZA</t>
  </si>
  <si>
    <t>CAFR801208CB0</t>
  </si>
  <si>
    <t>MEVJ750106</t>
  </si>
  <si>
    <t>AACL810603EU1</t>
  </si>
  <si>
    <t>CUCC760412RC9</t>
  </si>
  <si>
    <t>DEBR740826UP7</t>
  </si>
  <si>
    <t>CETI790515ED8</t>
  </si>
  <si>
    <t>LOGS7111015Y9</t>
  </si>
  <si>
    <t>MAJA7411279U7</t>
  </si>
  <si>
    <t>MAAF710411523</t>
  </si>
  <si>
    <t>MAMJ801018M46</t>
  </si>
  <si>
    <t>CUHM630423SS6</t>
  </si>
  <si>
    <t>GAMF840723MA9</t>
  </si>
  <si>
    <t>CUBF8407096X0</t>
  </si>
  <si>
    <t>PIGC8403079T2</t>
  </si>
  <si>
    <t>RIJA840523MD7</t>
  </si>
  <si>
    <t>VASG691016AB3</t>
  </si>
  <si>
    <t>HERR830910A98</t>
  </si>
  <si>
    <t>LULJ620624SSA</t>
  </si>
  <si>
    <t>GOAP6105044H2</t>
  </si>
  <si>
    <t>CAMA870316KK9</t>
  </si>
  <si>
    <t>MARM6711137I2</t>
  </si>
  <si>
    <t>LOOG710829AS4</t>
  </si>
  <si>
    <t>CAMJ810126RXA</t>
  </si>
  <si>
    <t>GOCS860225TZ0</t>
  </si>
  <si>
    <t>GODG600318PR2</t>
  </si>
  <si>
    <t>AEEJ790424BJ4</t>
  </si>
  <si>
    <t>SARR870213C33</t>
  </si>
  <si>
    <t>SOSP751027V90</t>
  </si>
  <si>
    <t>LALJ6811035S4</t>
  </si>
  <si>
    <t>RIRL721105O00</t>
  </si>
  <si>
    <t>AS</t>
  </si>
  <si>
    <t>GUARANA</t>
  </si>
  <si>
    <t>MZ</t>
  </si>
  <si>
    <t>LT-129-A</t>
  </si>
  <si>
    <t>RIO</t>
  </si>
  <si>
    <t>NO.</t>
  </si>
  <si>
    <t>A</t>
  </si>
  <si>
    <t>MZ-21</t>
  </si>
  <si>
    <t>SAN</t>
  </si>
  <si>
    <t>S/N,</t>
  </si>
  <si>
    <t>ROBLE</t>
  </si>
  <si>
    <t>COLON</t>
  </si>
  <si>
    <t>GUERREO</t>
  </si>
  <si>
    <t>AOAHUILA</t>
  </si>
  <si>
    <t>VENADOS</t>
  </si>
  <si>
    <t>MZ-3</t>
  </si>
  <si>
    <t>LT-10</t>
  </si>
  <si>
    <t>LOS</t>
  </si>
  <si>
    <t>26082-90</t>
  </si>
  <si>
    <t>NÂº</t>
  </si>
  <si>
    <t>MZ-53</t>
  </si>
  <si>
    <t>LT-3</t>
  </si>
  <si>
    <t>PASEO</t>
  </si>
  <si>
    <t>PRESA</t>
  </si>
  <si>
    <t>BORRASCA</t>
  </si>
  <si>
    <t>MZ-340</t>
  </si>
  <si>
    <t>LT-3123</t>
  </si>
  <si>
    <t>MAYO</t>
  </si>
  <si>
    <t>GLORIETA</t>
  </si>
  <si>
    <t>ETIOPIA</t>
  </si>
  <si>
    <t>MZ-556</t>
  </si>
  <si>
    <t>LT-24</t>
  </si>
  <si>
    <t>INT.</t>
  </si>
  <si>
    <t>5,</t>
  </si>
  <si>
    <t>LT</t>
  </si>
  <si>
    <t>SUR</t>
  </si>
  <si>
    <t>GIRASOLES</t>
  </si>
  <si>
    <t>EMILIANO</t>
  </si>
  <si>
    <t>ZAPATA</t>
  </si>
  <si>
    <t>CERRADA</t>
  </si>
  <si>
    <t>SIN</t>
  </si>
  <si>
    <t>NOMBRE</t>
  </si>
  <si>
    <t>AV.</t>
  </si>
  <si>
    <t>CHOFERES</t>
  </si>
  <si>
    <t>PRIV.</t>
  </si>
  <si>
    <t>LT-32</t>
  </si>
  <si>
    <t>10-A</t>
  </si>
  <si>
    <t>MZ-15</t>
  </si>
  <si>
    <t>LT-38</t>
  </si>
  <si>
    <t>CASA</t>
  </si>
  <si>
    <t>CDA.</t>
  </si>
  <si>
    <t>LAS</t>
  </si>
  <si>
    <t>MANZANAS</t>
  </si>
  <si>
    <t>LT-9</t>
  </si>
  <si>
    <t>CALLE</t>
  </si>
  <si>
    <t>Y</t>
  </si>
  <si>
    <t>PIRUL</t>
  </si>
  <si>
    <t>DEPTO.</t>
  </si>
  <si>
    <t>CUAUTEMOC</t>
  </si>
  <si>
    <t>MZ-25</t>
  </si>
  <si>
    <t>LT-34</t>
  </si>
  <si>
    <t>TLAZCAN</t>
  </si>
  <si>
    <t>NOVIEMBRE</t>
  </si>
  <si>
    <t>AILE</t>
  </si>
  <si>
    <t>NAMBIA</t>
  </si>
  <si>
    <t>JACARANDAS</t>
  </si>
  <si>
    <t>MZ-4</t>
  </si>
  <si>
    <t>LT-2</t>
  </si>
  <si>
    <t>SAUCILLO</t>
  </si>
  <si>
    <t>GAVIOTAS</t>
  </si>
  <si>
    <t>MZ-23</t>
  </si>
  <si>
    <t>LT-18</t>
  </si>
  <si>
    <t>LT.</t>
  </si>
  <si>
    <t>MZ-45</t>
  </si>
  <si>
    <t>LT-26</t>
  </si>
  <si>
    <t>11B</t>
  </si>
  <si>
    <t>MZ-13</t>
  </si>
  <si>
    <t>CUITLAHUAC</t>
  </si>
  <si>
    <t>ROBLEDO</t>
  </si>
  <si>
    <t>HAITIANOS</t>
  </si>
  <si>
    <t>INT</t>
  </si>
  <si>
    <t>2D</t>
  </si>
  <si>
    <t>BUGAMBILIAS</t>
  </si>
  <si>
    <t>TZIPEKUA</t>
  </si>
  <si>
    <t>J,</t>
  </si>
  <si>
    <t>18-2,</t>
  </si>
  <si>
    <t>HOGAR</t>
  </si>
  <si>
    <t>CHATCANI</t>
  </si>
  <si>
    <t>C</t>
  </si>
  <si>
    <t>TUNA</t>
  </si>
  <si>
    <t>MANZA</t>
  </si>
  <si>
    <t>CENTRAL</t>
  </si>
  <si>
    <t>TAXQUEÃ‘A</t>
  </si>
  <si>
    <t>MATEOS</t>
  </si>
  <si>
    <t>VALLE</t>
  </si>
  <si>
    <t>7,</t>
  </si>
  <si>
    <t>ARTES</t>
  </si>
  <si>
    <t>PINOS</t>
  </si>
  <si>
    <t>DONALDO</t>
  </si>
  <si>
    <t>COLOSIO</t>
  </si>
  <si>
    <t>HERRADURA</t>
  </si>
  <si>
    <t>C.</t>
  </si>
  <si>
    <t>14,</t>
  </si>
  <si>
    <t>MZA.</t>
  </si>
  <si>
    <t>23,</t>
  </si>
  <si>
    <t>NUM.8006</t>
  </si>
  <si>
    <t>EUCALIPTO</t>
  </si>
  <si>
    <t>ENERO</t>
  </si>
  <si>
    <t>HIGUERA</t>
  </si>
  <si>
    <t>VASCONCELOS</t>
  </si>
  <si>
    <t>217,</t>
  </si>
  <si>
    <t>LT5</t>
  </si>
  <si>
    <t>DORADO</t>
  </si>
  <si>
    <t>ENCINO</t>
  </si>
  <si>
    <t>EDIF.</t>
  </si>
  <si>
    <t>B1</t>
  </si>
  <si>
    <t>CUAUHTEMOC</t>
  </si>
  <si>
    <t>CHIMALPOPOCA</t>
  </si>
  <si>
    <t>COMALCALCO</t>
  </si>
  <si>
    <t>PINO</t>
  </si>
  <si>
    <t>NOMBRE,</t>
  </si>
  <si>
    <t>AVENIDA</t>
  </si>
  <si>
    <t>GUERRERO,</t>
  </si>
  <si>
    <t>NUMERO</t>
  </si>
  <si>
    <t>HEROES</t>
  </si>
  <si>
    <t>SN</t>
  </si>
  <si>
    <t>RET.</t>
  </si>
  <si>
    <t>ALHELIES</t>
  </si>
  <si>
    <t>MZ.2</t>
  </si>
  <si>
    <t>LT.6</t>
  </si>
  <si>
    <t>6-C</t>
  </si>
  <si>
    <t>POR</t>
  </si>
  <si>
    <t>MOCTEZUMA</t>
  </si>
  <si>
    <t>PRINCIPE</t>
  </si>
  <si>
    <t>MZ.</t>
  </si>
  <si>
    <t>FARFAN</t>
  </si>
  <si>
    <t>ANTURIOS</t>
  </si>
  <si>
    <t>72-B</t>
  </si>
  <si>
    <t>FRESNO</t>
  </si>
  <si>
    <t>NICOLAS</t>
  </si>
  <si>
    <t>BRAVO</t>
  </si>
  <si>
    <t>TAJIN</t>
  </si>
  <si>
    <t>ED.</t>
  </si>
  <si>
    <t>10-E</t>
  </si>
  <si>
    <t>CELESTE,</t>
  </si>
  <si>
    <t>Âº</t>
  </si>
  <si>
    <t>JOSEFA</t>
  </si>
  <si>
    <t>REYNA</t>
  </si>
  <si>
    <t>YAEL</t>
  </si>
  <si>
    <t>TECNICOS,</t>
  </si>
  <si>
    <t>NÂº34</t>
  </si>
  <si>
    <t>BARREDA</t>
  </si>
  <si>
    <t>AMAPOLAS</t>
  </si>
  <si>
    <t>CONOCIDO</t>
  </si>
  <si>
    <t>ZACATECAS</t>
  </si>
  <si>
    <t>EL</t>
  </si>
  <si>
    <t>FERROCARRIL</t>
  </si>
  <si>
    <t>MODULO</t>
  </si>
  <si>
    <t>C43</t>
  </si>
  <si>
    <t>ALLENDE</t>
  </si>
  <si>
    <t>NUM</t>
  </si>
  <si>
    <t>NORTE</t>
  </si>
  <si>
    <t>EDIF</t>
  </si>
  <si>
    <t>D</t>
  </si>
  <si>
    <t>DPTO</t>
  </si>
  <si>
    <t>MZN</t>
  </si>
  <si>
    <t>C,</t>
  </si>
  <si>
    <t>L3</t>
  </si>
  <si>
    <t>ITALIA</t>
  </si>
  <si>
    <t>PTO</t>
  </si>
  <si>
    <t>MAZATLAN</t>
  </si>
  <si>
    <t>LT10</t>
  </si>
  <si>
    <t>REFORMA</t>
  </si>
  <si>
    <t>VICTORIA</t>
  </si>
  <si>
    <t>LT-22</t>
  </si>
  <si>
    <t>MZ-80</t>
  </si>
  <si>
    <t>NORTE,</t>
  </si>
  <si>
    <t>NÂº13</t>
  </si>
  <si>
    <t>CALABRIA</t>
  </si>
  <si>
    <t>#150</t>
  </si>
  <si>
    <t>NOV.</t>
  </si>
  <si>
    <t>N/S</t>
  </si>
  <si>
    <t>UVA</t>
  </si>
  <si>
    <t>ROVERETO</t>
  </si>
  <si>
    <t>4B</t>
  </si>
  <si>
    <t>CHIQUIGUAO</t>
  </si>
  <si>
    <t>LIQUIDAMBAR</t>
  </si>
  <si>
    <t>CUAUTITLAN</t>
  </si>
  <si>
    <t>MARIA</t>
  </si>
  <si>
    <t>ANAYA</t>
  </si>
  <si>
    <t>CARIDAD</t>
  </si>
  <si>
    <t>CS.</t>
  </si>
  <si>
    <t>CUITZEO</t>
  </si>
  <si>
    <t>LOC.</t>
  </si>
  <si>
    <t>ZAPOTAL</t>
  </si>
  <si>
    <t>SEPTIEMBRE</t>
  </si>
  <si>
    <t>GUEMEZ</t>
  </si>
  <si>
    <t>DICIEMBRE</t>
  </si>
  <si>
    <t>CALLEJON</t>
  </si>
  <si>
    <t>CANCION</t>
  </si>
  <si>
    <t>AMOR</t>
  </si>
  <si>
    <t>CHICUEL</t>
  </si>
  <si>
    <t>MZ.4</t>
  </si>
  <si>
    <t>LT.12</t>
  </si>
  <si>
    <t>MINA</t>
  </si>
  <si>
    <t>LAGO</t>
  </si>
  <si>
    <t>TASIMAY</t>
  </si>
  <si>
    <t>R.</t>
  </si>
  <si>
    <t>BERMEJO</t>
  </si>
  <si>
    <t>VILLAR</t>
  </si>
  <si>
    <t>VILLALON</t>
  </si>
  <si>
    <t>ESPERANZA</t>
  </si>
  <si>
    <t>TRABAJO</t>
  </si>
  <si>
    <t>TENOCHTITLAN</t>
  </si>
  <si>
    <t>CEREZOS</t>
  </si>
  <si>
    <t>VENUSTIANO</t>
  </si>
  <si>
    <t>CARRANZA</t>
  </si>
  <si>
    <t>DURAZNO</t>
  </si>
  <si>
    <t>725,</t>
  </si>
  <si>
    <t>LIBERTAD</t>
  </si>
  <si>
    <t>DURAZNOS</t>
  </si>
  <si>
    <t>9314,</t>
  </si>
  <si>
    <t>3839-2</t>
  </si>
  <si>
    <t>COLIMA</t>
  </si>
  <si>
    <t>PROV.</t>
  </si>
  <si>
    <t>CONSTITUCION</t>
  </si>
  <si>
    <t>EXT.</t>
  </si>
  <si>
    <t>VILLAGRAN</t>
  </si>
  <si>
    <t>PRAXEDIS</t>
  </si>
  <si>
    <t>KM.</t>
  </si>
  <si>
    <t>POSTE</t>
  </si>
  <si>
    <t>B2.1</t>
  </si>
  <si>
    <t>MARGARITA</t>
  </si>
  <si>
    <t>MONTAÃ‘O</t>
  </si>
  <si>
    <t>NÂ°11</t>
  </si>
  <si>
    <t>NTRA.</t>
  </si>
  <si>
    <t>SEÃ‘ORA</t>
  </si>
  <si>
    <t>MERCEDES</t>
  </si>
  <si>
    <t>PALMACRISTIS</t>
  </si>
  <si>
    <t>CONSTANZA</t>
  </si>
  <si>
    <t>VIEJAS</t>
  </si>
  <si>
    <t>FRAY</t>
  </si>
  <si>
    <t>GANTE</t>
  </si>
  <si>
    <t>#1610-3</t>
  </si>
  <si>
    <t>CANELA</t>
  </si>
  <si>
    <t>MZ.5</t>
  </si>
  <si>
    <t>LT.71</t>
  </si>
  <si>
    <t>PLUTARCO</t>
  </si>
  <si>
    <t>CALLES</t>
  </si>
  <si>
    <t>MALINTZIN</t>
  </si>
  <si>
    <t>MZ.232</t>
  </si>
  <si>
    <t>LT.52</t>
  </si>
  <si>
    <t>BRAVO,</t>
  </si>
  <si>
    <t>NÂ°</t>
  </si>
  <si>
    <t>INDEPENDENCIA</t>
  </si>
  <si>
    <t>NEZAHUALCOYOTL,</t>
  </si>
  <si>
    <t>#25</t>
  </si>
  <si>
    <t>CDA</t>
  </si>
  <si>
    <t>PARQUE,</t>
  </si>
  <si>
    <t>COND.</t>
  </si>
  <si>
    <t>4,</t>
  </si>
  <si>
    <t>MZ2,</t>
  </si>
  <si>
    <t>CEREZO</t>
  </si>
  <si>
    <t>BELIZARIO</t>
  </si>
  <si>
    <t>B</t>
  </si>
  <si>
    <t>NUÃ‘EZ,</t>
  </si>
  <si>
    <t>#12</t>
  </si>
  <si>
    <t>PACHUCA</t>
  </si>
  <si>
    <t>LOTE</t>
  </si>
  <si>
    <t>BERNARDINO</t>
  </si>
  <si>
    <t>SAUL</t>
  </si>
  <si>
    <t>FERNANDEZ</t>
  </si>
  <si>
    <t>5\"A\"#22</t>
  </si>
  <si>
    <t>ROMULO</t>
  </si>
  <si>
    <t>VEGA</t>
  </si>
  <si>
    <t>MZ-555</t>
  </si>
  <si>
    <t>LT-1</t>
  </si>
  <si>
    <t>SATELITE</t>
  </si>
  <si>
    <t>#9439</t>
  </si>
  <si>
    <t>PABLADO</t>
  </si>
  <si>
    <t>1ER</t>
  </si>
  <si>
    <t>PV</t>
  </si>
  <si>
    <t>MOLINO</t>
  </si>
  <si>
    <t>#101</t>
  </si>
  <si>
    <t>ARQUIMIDES</t>
  </si>
  <si>
    <t>GRODIUS</t>
  </si>
  <si>
    <t>#</t>
  </si>
  <si>
    <t>DOSANTE,</t>
  </si>
  <si>
    <t>6,</t>
  </si>
  <si>
    <t>I</t>
  </si>
  <si>
    <t>MADERO,</t>
  </si>
  <si>
    <t>NÂ°52</t>
  </si>
  <si>
    <t>CARRETEREA</t>
  </si>
  <si>
    <t>CALIFORNIA</t>
  </si>
  <si>
    <t>NUMERO EXT</t>
  </si>
  <si>
    <t>RIO BLANCO</t>
  </si>
  <si>
    <t>COL</t>
  </si>
  <si>
    <t>12</t>
  </si>
  <si>
    <t>VALENTINA CIEN</t>
  </si>
  <si>
    <t>MONTES ROCALLOSOS</t>
  </si>
  <si>
    <t>SAN JUAN</t>
  </si>
  <si>
    <t>SANTA YOLANDA</t>
  </si>
  <si>
    <t>CIUDAD CAMARGO</t>
  </si>
  <si>
    <t>PRIVADA DE LOS TULIPANES</t>
  </si>
  <si>
    <t>REYES DE INGLATERRA</t>
  </si>
  <si>
    <t>JUAN N. ALVAREZ</t>
  </si>
  <si>
    <t>SANTA JULIA</t>
  </si>
  <si>
    <t>JOSE TORRES ALOR</t>
  </si>
  <si>
    <t>PASEO DE LA PRESA</t>
  </si>
  <si>
    <t>5 DE MAYO</t>
  </si>
  <si>
    <t>ALEJANDRO RAMIREZ</t>
  </si>
  <si>
    <t>GLORIETA DE ETIOPIA</t>
  </si>
  <si>
    <t>PRIVADA RUISEÑORES</t>
  </si>
  <si>
    <t>HERIBERTO JARA</t>
  </si>
  <si>
    <t>MZA-5</t>
  </si>
  <si>
    <t>PRIVADA DE ITUGARRAY</t>
  </si>
  <si>
    <t>CTO. OBREROS INDEPENDIENTES SUR</t>
  </si>
  <si>
    <t>PRIVADA ISABEL LA CATOLICA</t>
  </si>
  <si>
    <t>LT-13</t>
  </si>
  <si>
    <t>MZ-5</t>
  </si>
  <si>
    <t>FRACC. RESIDENCIAL DEL SUR</t>
  </si>
  <si>
    <t>FRANCISCO DE ZURBARAN</t>
  </si>
  <si>
    <t>PRIVADA PIEDRAS NEGRAS</t>
  </si>
  <si>
    <t>RAMON GUZMAN</t>
  </si>
  <si>
    <t>PATEOSINIO ESPINO</t>
  </si>
  <si>
    <t>SAN JOSE</t>
  </si>
  <si>
    <t>CERRADA SIN NOMBRE</t>
  </si>
  <si>
    <t>AV. LEGISLATURA</t>
  </si>
  <si>
    <t>AV. MANUEL AVILA CAMACHO</t>
  </si>
  <si>
    <t>PRIV. RINCON DE LOS TULIPANES</t>
  </si>
  <si>
    <t>GUADALUPE BENITEZ</t>
  </si>
  <si>
    <t>ALCATRACES DE KALO</t>
  </si>
  <si>
    <t>CERRO DEL TEPEYAC</t>
  </si>
  <si>
    <t>CDA. DE LAS MANZANAS</t>
  </si>
  <si>
    <t>FRANCISCO MAYORAL</t>
  </si>
  <si>
    <t>PRIV RIO CLARO</t>
  </si>
  <si>
    <t>CALLE 60 A</t>
  </si>
  <si>
    <t>ARTURO GOMEZ</t>
  </si>
  <si>
    <t>LOMAS DE LAS MARIPOSAS</t>
  </si>
  <si>
    <t>PIÑA</t>
  </si>
  <si>
    <t>CERRO DE LA SILLA</t>
  </si>
  <si>
    <t>ALFREDO B. BONFIL</t>
  </si>
  <si>
    <t>20 DE NOVIEMBRE</t>
  </si>
  <si>
    <t>ESTADO DE MORELOS</t>
  </si>
  <si>
    <t>PRIVADA MARSELLA</t>
  </si>
  <si>
    <t>2a. CDA. DE JACARANDAS</t>
  </si>
  <si>
    <t>BENITO JUAREZ</t>
  </si>
  <si>
    <t>AV. NECAXA</t>
  </si>
  <si>
    <t>VICTORIANO NUÑEZ</t>
  </si>
  <si>
    <t>PINGÜICA</t>
  </si>
  <si>
    <t>ANDADOR 15 DE NOVIEMBRE</t>
  </si>
  <si>
    <t>PASEOS DE BOCOYNA</t>
  </si>
  <si>
    <t>PROLONGACION JUAREZ</t>
  </si>
  <si>
    <t>SARDINA 32</t>
  </si>
  <si>
    <t>MZ-19</t>
  </si>
  <si>
    <t>BOULEVARD POSHTECAS</t>
  </si>
  <si>
    <t>PRIVADA ALAMOS</t>
  </si>
  <si>
    <t>FERNANDO DAVILA</t>
  </si>
  <si>
    <t>PASEO DE LOS SANTOS</t>
  </si>
  <si>
    <t>LOMA BLANCA ORIENTE</t>
  </si>
  <si>
    <t>CARRETERA NACIONAL MEXICO-ACAPULCO</t>
  </si>
  <si>
    <t>ALFONSO HERRERA</t>
  </si>
  <si>
    <t>SIXTO VERDUGO</t>
  </si>
  <si>
    <t>CALLE ROSAS</t>
  </si>
  <si>
    <t>CALLE 11</t>
  </si>
  <si>
    <t>POTRERO DE BUENAVISTA</t>
  </si>
  <si>
    <t>POTRERO DE LA TUNA</t>
  </si>
  <si>
    <t>BLVD CENTRAL TAXQUEÑA</t>
  </si>
  <si>
    <t>ADOLFO LOPEZ MATEOS</t>
  </si>
  <si>
    <t>CIRCUITO VALLE DE LAS JACARANDAS</t>
  </si>
  <si>
    <t>LOS PINOS</t>
  </si>
  <si>
    <t>CAMINO DE HERRADURA</t>
  </si>
  <si>
    <t>C. 14</t>
  </si>
  <si>
    <t>CALLE 6</t>
  </si>
  <si>
    <t>HACIENDA DEL ROSARIO</t>
  </si>
  <si>
    <t>BLV. 8 DE ENERO</t>
  </si>
  <si>
    <t>CALLE HIGUERA</t>
  </si>
  <si>
    <t>CALLE ENCINO</t>
  </si>
  <si>
    <t>CAM A LA PRESA</t>
  </si>
  <si>
    <t>CORREGIDORA SUR</t>
  </si>
  <si>
    <t>AV. CUAUHTEMOC</t>
  </si>
  <si>
    <t>1RA CDA. GUERRERO</t>
  </si>
  <si>
    <t>BOSQUES DE PINO</t>
  </si>
  <si>
    <t>SIN NOMBRE</t>
  </si>
  <si>
    <t>AVENIDA VICENTE GUERRERO</t>
  </si>
  <si>
    <t>NIÑOS HEROES</t>
  </si>
  <si>
    <t>RET. ALHELIES</t>
  </si>
  <si>
    <t>RIO LAS MANZANAS</t>
  </si>
  <si>
    <t>C. 13</t>
  </si>
  <si>
    <t>PUERTO PRINCIPE</t>
  </si>
  <si>
    <t>CONSTANCIO FARFAN</t>
  </si>
  <si>
    <t>AND. ANTURIOS</t>
  </si>
  <si>
    <t>AV. NICOLAS BRAVO</t>
  </si>
  <si>
    <t>PRIVADA CELESTE</t>
  </si>
  <si>
    <t>1º DE MAYO</t>
  </si>
  <si>
    <t>CTO. JOSEFA ORTIZ</t>
  </si>
  <si>
    <t>CALLE REYNA YAEL</t>
  </si>
  <si>
    <t>1RA CERRADA DE LOS TECNICOS</t>
  </si>
  <si>
    <t>AVENIDA MEXICO</t>
  </si>
  <si>
    <t>GABINO BARREDA</t>
  </si>
  <si>
    <t>JARDIN DE AMAPOLAS</t>
  </si>
  <si>
    <t>DOMICILIO CONOCIDO</t>
  </si>
  <si>
    <t>JESUS GARCIA</t>
  </si>
  <si>
    <t>PRIV EL FERROCARRIL</t>
  </si>
  <si>
    <t>MIGUEL ALLENDE</t>
  </si>
  <si>
    <t>AV. MEXICO</t>
  </si>
  <si>
    <t>C. 20</t>
  </si>
  <si>
    <t>AV. NORTE</t>
  </si>
  <si>
    <t>PRIV. PTO MAZATLAN</t>
  </si>
  <si>
    <t>CORDOBA 18</t>
  </si>
  <si>
    <t>PRIVADA DE REFORMA</t>
  </si>
  <si>
    <t>ING. JESÚS MANUEL TAPIA</t>
  </si>
  <si>
    <t>GUADALUPE VICTORIA</t>
  </si>
  <si>
    <t>CALLE 29</t>
  </si>
  <si>
    <t>IMPALA</t>
  </si>
  <si>
    <t>AV. REFORMA NORTE</t>
  </si>
  <si>
    <t>AV. VICENTE GUERRERO</t>
  </si>
  <si>
    <t>CTO PINO</t>
  </si>
  <si>
    <t>C. UVA</t>
  </si>
  <si>
    <t>P. ROBERTO</t>
  </si>
  <si>
    <t>AV. SAN ISIDRO</t>
  </si>
  <si>
    <t>GRAL. PEDRO MARIA</t>
  </si>
  <si>
    <t>PASEO DE LA CARIDAD</t>
  </si>
  <si>
    <t>HACIENDA DE CUITZEO</t>
  </si>
  <si>
    <t>LT-129</t>
  </si>
  <si>
    <t>VER101557</t>
  </si>
  <si>
    <t>VER012293</t>
  </si>
  <si>
    <t/>
  </si>
  <si>
    <t>COAH21516</t>
  </si>
  <si>
    <t>PUE000411</t>
  </si>
  <si>
    <t>SIN101901</t>
  </si>
  <si>
    <t>VER012089</t>
  </si>
  <si>
    <t>CHIH10119</t>
  </si>
  <si>
    <t>TAMP30375</t>
  </si>
  <si>
    <t>TAMP30431</t>
  </si>
  <si>
    <t>VER131153</t>
  </si>
  <si>
    <t>DF0011318</t>
  </si>
  <si>
    <t>DF0021465</t>
  </si>
  <si>
    <t>SON000589</t>
  </si>
  <si>
    <t>BCS000434</t>
  </si>
  <si>
    <t>SIN100582</t>
  </si>
  <si>
    <t>MOR000512</t>
  </si>
  <si>
    <t>TAMP30271</t>
  </si>
  <si>
    <t>DF0015641</t>
  </si>
  <si>
    <t>VER106170</t>
  </si>
  <si>
    <t>CHIH10355</t>
  </si>
  <si>
    <t>DF0015636</t>
  </si>
  <si>
    <t>DF0010340</t>
  </si>
  <si>
    <t>CHIH20269</t>
  </si>
  <si>
    <t>DF0023123</t>
  </si>
  <si>
    <t>CAMP01059</t>
  </si>
  <si>
    <t>VER011635</t>
  </si>
  <si>
    <t>SIN103391</t>
  </si>
  <si>
    <t>TLAX00147</t>
  </si>
  <si>
    <t>DF0021591</t>
  </si>
  <si>
    <t>MOR000044</t>
  </si>
  <si>
    <t>MOR000967</t>
  </si>
  <si>
    <t>CHIH20178</t>
  </si>
  <si>
    <t>CHIH10474</t>
  </si>
  <si>
    <t>EDOM09359</t>
  </si>
  <si>
    <t>VER123019</t>
  </si>
  <si>
    <t>DF0023148</t>
  </si>
  <si>
    <t>DF0013542</t>
  </si>
  <si>
    <t>DF0015608</t>
  </si>
  <si>
    <t>JAL003012</t>
  </si>
  <si>
    <t>DF0022450</t>
  </si>
  <si>
    <t>B-E FEDER</t>
  </si>
  <si>
    <t>GRO000220</t>
  </si>
  <si>
    <t>DF0014914</t>
  </si>
  <si>
    <t>AGS000407</t>
  </si>
  <si>
    <t>MOR05244</t>
  </si>
  <si>
    <t>GRO03509</t>
  </si>
  <si>
    <t>MOR01308</t>
  </si>
  <si>
    <t>DF118520</t>
  </si>
  <si>
    <t>SLP06001</t>
  </si>
  <si>
    <t>DF209599</t>
  </si>
  <si>
    <t>Nombre Campo</t>
  </si>
  <si>
    <t>[K_OPERADOR]</t>
  </si>
  <si>
    <t>D_OPERADOR</t>
  </si>
  <si>
    <t>C_OPERADOR</t>
  </si>
  <si>
    <t>K_ESTATUS_OPERADOR</t>
  </si>
  <si>
    <t>K_ESTADO_CIVIL</t>
  </si>
  <si>
    <t>K_OPERADOR</t>
  </si>
  <si>
    <t>[K_ESTATUS_OPERADOR]</t>
  </si>
  <si>
    <t>O_OPERADOR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</si>
</sst>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000"/>
  </numFmts>
  <fonts count="15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i/>
      <sz val="9"/>
      <color rgb="FF00B050"/>
      <name val="Calibri"/>
      <family val="2"/>
      <scheme val="minor"/>
    </font>
    <font>
      <b/>
      <i/>
      <sz val="11"/>
      <color rgb="FFC00000"/>
      <name val="Calibri"/>
      <family val="2"/>
      <scheme val="minor"/>
    </font>
    <font>
      <b/>
      <sz val="9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7" fillId="0" borderId="0"/>
    <xf numFmtId="43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8" fillId="0" borderId="0"/>
  </cellStyleXfs>
  <cellXfs count="4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2" borderId="0" xfId="0" applyFill="1"/>
    <xf numFmtId="0" fontId="6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4" fillId="0" borderId="0" xfId="0" quotePrefix="1" applyFont="1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Fill="1"/>
    <xf numFmtId="0" fontId="9" fillId="0" borderId="0" xfId="0" applyFont="1" applyAlignment="1">
      <alignment horizontal="center"/>
    </xf>
    <xf numFmtId="0" fontId="2" fillId="0" borderId="0" xfId="0" quotePrefix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quotePrefix="1" applyFont="1" applyFill="1" applyAlignment="1">
      <alignment horizontal="left" vertical="center"/>
    </xf>
    <xf numFmtId="0" fontId="4" fillId="0" borderId="0" xfId="0" quotePrefix="1" applyFont="1" applyFill="1" applyAlignment="1">
      <alignment horizontal="center" vertical="center"/>
    </xf>
    <xf numFmtId="0" fontId="10" fillId="0" borderId="0" xfId="0" applyFont="1" applyFill="1" applyAlignment="1">
      <alignment horizontal="left" vertical="center"/>
    </xf>
    <xf numFmtId="14" fontId="0" fillId="0" borderId="0" xfId="0" applyNumberFormat="1"/>
    <xf numFmtId="47" fontId="0" fillId="0" borderId="0" xfId="0" applyNumberFormat="1"/>
    <xf numFmtId="0" fontId="3" fillId="0" borderId="0" xfId="0" quotePrefix="1" applyNumberFormat="1" applyFont="1" applyAlignment="1">
      <alignment horizontal="left" vertical="center"/>
    </xf>
    <xf numFmtId="0" fontId="3" fillId="0" borderId="0" xfId="0" quotePrefix="1" applyNumberFormat="1" applyFont="1" applyFill="1" applyAlignment="1">
      <alignment horizontal="center" vertical="center"/>
    </xf>
    <xf numFmtId="0" fontId="0" fillId="0" borderId="0" xfId="0" applyNumberFormat="1" applyFont="1" applyAlignment="1">
      <alignment horizontal="left"/>
    </xf>
    <xf numFmtId="164" fontId="2" fillId="0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0" xfId="0" applyFill="1"/>
    <xf numFmtId="14" fontId="0" fillId="3" borderId="0" xfId="0" applyNumberFormat="1" applyFill="1"/>
    <xf numFmtId="15" fontId="13" fillId="0" borderId="0" xfId="0" applyNumberFormat="1" applyFont="1" applyAlignment="1">
      <alignment horizontal="center"/>
    </xf>
    <xf numFmtId="0" fontId="3" fillId="0" borderId="0" xfId="0" quotePrefix="1" applyNumberFormat="1" applyFont="1" applyFill="1" applyAlignment="1">
      <alignment horizontal="right" vertical="center"/>
    </xf>
    <xf numFmtId="16" fontId="0" fillId="0" borderId="0" xfId="0" applyNumberFormat="1"/>
    <xf numFmtId="47" fontId="0" fillId="0" borderId="0" xfId="0" quotePrefix="1" applyNumberFormat="1"/>
    <xf numFmtId="0" fontId="14" fillId="0" borderId="0" xfId="0" applyFont="1"/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2" borderId="0" xfId="0" applyFill="1" applyAlignment="1">
      <alignment horizontal="left"/>
    </xf>
    <xf numFmtId="0" fontId="14" fillId="0" borderId="0" xfId="0" applyFont="1" applyAlignment="1">
      <alignment horizontal="left"/>
    </xf>
  </cellXfs>
  <cellStyles count="8">
    <cellStyle name="Comma 2" xfId="2"/>
    <cellStyle name="Millares 2" xfId="3"/>
    <cellStyle name="Millares 3" xfId="4"/>
    <cellStyle name="Millares 4" xfId="5"/>
    <cellStyle name="Moneda 2" xfId="6"/>
    <cellStyle name="Normal" xfId="0" builtinId="0"/>
    <cellStyle name="Normal 2" xfId="7"/>
    <cellStyle name="Normal 3" xfId="1"/>
  </cellStyles>
  <dxfs count="10"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AB36"/>
  <sheetViews>
    <sheetView workbookViewId="0">
      <selection activeCell="C36" sqref="C36"/>
    </sheetView>
  </sheetViews>
  <sheetFormatPr baseColWidth="10" defaultRowHeight="15" x14ac:dyDescent="0.25"/>
  <cols>
    <col min="1" max="1" width="20.85546875" style="3" customWidth="1"/>
    <col min="2" max="2" width="37.5703125" bestFit="1" customWidth="1"/>
    <col min="3" max="3" width="25.85546875" style="30" bestFit="1" customWidth="1"/>
  </cols>
  <sheetData>
    <row r="1" spans="1:4" x14ac:dyDescent="0.25">
      <c r="A1" s="41" t="str">
        <f>(CONCATENATE("PG_CI_",(MID(B4,4,LEN(B4)-4))))</f>
        <v>PG_CI_OPERADOR</v>
      </c>
      <c r="B1" s="5"/>
      <c r="C1" s="29"/>
      <c r="D1" s="5"/>
    </row>
    <row r="3" spans="1:4" x14ac:dyDescent="0.25">
      <c r="A3" s="4" t="s">
        <v>5</v>
      </c>
      <c r="B3" t="s">
        <v>2908</v>
      </c>
      <c r="C3" s="31" t="s">
        <v>4</v>
      </c>
    </row>
    <row r="4" spans="1:4" x14ac:dyDescent="0.25">
      <c r="A4" s="3" t="s">
        <v>3</v>
      </c>
      <c r="B4" t="s">
        <v>2909</v>
      </c>
      <c r="C4" s="30" t="s">
        <v>42</v>
      </c>
    </row>
    <row r="5" spans="1:4" x14ac:dyDescent="0.25">
      <c r="B5" t="s">
        <v>2910</v>
      </c>
      <c r="C5" s="30" t="s">
        <v>43</v>
      </c>
    </row>
    <row r="6" spans="1:4" x14ac:dyDescent="0.25">
      <c r="B6" t="s">
        <v>2911</v>
      </c>
      <c r="C6" s="30" t="s">
        <v>44</v>
      </c>
    </row>
    <row r="7" spans="1:4" x14ac:dyDescent="0.25">
      <c r="B7" t="s">
        <v>2912</v>
      </c>
      <c r="C7" s="30" t="s">
        <v>42</v>
      </c>
    </row>
    <row r="8" spans="1:4" x14ac:dyDescent="0.25">
      <c r="B8" t="s">
        <v>2913</v>
      </c>
      <c r="C8" s="30" t="s">
        <v>42</v>
      </c>
    </row>
    <row r="9" spans="1:4" x14ac:dyDescent="0.25">
      <c r="B9" t="s">
        <v>21</v>
      </c>
      <c r="C9" s="30" t="s">
        <v>42</v>
      </c>
    </row>
    <row r="10" spans="1:4" x14ac:dyDescent="0.25">
      <c r="B10" t="s">
        <v>22</v>
      </c>
      <c r="C10" s="30" t="s">
        <v>45</v>
      </c>
    </row>
    <row r="11" spans="1:4" x14ac:dyDescent="0.25">
      <c r="B11" t="s">
        <v>23</v>
      </c>
      <c r="C11" s="30" t="s">
        <v>45</v>
      </c>
    </row>
    <row r="12" spans="1:4" x14ac:dyDescent="0.25">
      <c r="B12" t="s">
        <v>24</v>
      </c>
      <c r="C12" s="30" t="s">
        <v>45</v>
      </c>
    </row>
    <row r="13" spans="1:4" x14ac:dyDescent="0.25">
      <c r="B13" t="s">
        <v>25</v>
      </c>
      <c r="C13" s="30" t="s">
        <v>45</v>
      </c>
    </row>
    <row r="14" spans="1:4" x14ac:dyDescent="0.25">
      <c r="B14" t="s">
        <v>26</v>
      </c>
      <c r="C14" s="30" t="s">
        <v>45</v>
      </c>
    </row>
    <row r="15" spans="1:4" x14ac:dyDescent="0.25">
      <c r="B15" t="s">
        <v>27</v>
      </c>
      <c r="C15" s="30" t="s">
        <v>45</v>
      </c>
    </row>
    <row r="16" spans="1:4" x14ac:dyDescent="0.25">
      <c r="B16" t="s">
        <v>29</v>
      </c>
      <c r="C16" s="30" t="s">
        <v>46</v>
      </c>
    </row>
    <row r="17" spans="2:3" x14ac:dyDescent="0.25">
      <c r="B17" t="s">
        <v>28</v>
      </c>
      <c r="C17" s="30" t="s">
        <v>46</v>
      </c>
    </row>
    <row r="18" spans="2:3" x14ac:dyDescent="0.25">
      <c r="B18" t="s">
        <v>30</v>
      </c>
      <c r="C18" s="30" t="s">
        <v>45</v>
      </c>
    </row>
    <row r="19" spans="2:3" x14ac:dyDescent="0.25">
      <c r="B19" t="s">
        <v>31</v>
      </c>
      <c r="C19" s="30" t="s">
        <v>45</v>
      </c>
    </row>
    <row r="20" spans="2:3" x14ac:dyDescent="0.25">
      <c r="B20" t="s">
        <v>32</v>
      </c>
      <c r="C20" s="30" t="s">
        <v>45</v>
      </c>
    </row>
    <row r="21" spans="2:3" x14ac:dyDescent="0.25">
      <c r="B21" t="s">
        <v>33</v>
      </c>
      <c r="C21" s="30" t="s">
        <v>45</v>
      </c>
    </row>
    <row r="22" spans="2:3" x14ac:dyDescent="0.25">
      <c r="B22" t="s">
        <v>34</v>
      </c>
      <c r="C22" s="30" t="s">
        <v>45</v>
      </c>
    </row>
    <row r="23" spans="2:3" x14ac:dyDescent="0.25">
      <c r="B23" t="s">
        <v>35</v>
      </c>
      <c r="C23" s="30" t="s">
        <v>45</v>
      </c>
    </row>
    <row r="24" spans="2:3" x14ac:dyDescent="0.25">
      <c r="B24" t="s">
        <v>36</v>
      </c>
      <c r="C24" s="30" t="s">
        <v>47</v>
      </c>
    </row>
    <row r="25" spans="2:3" x14ac:dyDescent="0.25">
      <c r="B25" t="s">
        <v>37</v>
      </c>
      <c r="C25" s="30" t="s">
        <v>47</v>
      </c>
    </row>
    <row r="26" spans="2:3" x14ac:dyDescent="0.25">
      <c r="B26" t="s">
        <v>38</v>
      </c>
      <c r="C26" s="30" t="s">
        <v>45</v>
      </c>
    </row>
    <row r="27" spans="2:3" x14ac:dyDescent="0.25">
      <c r="B27" t="s">
        <v>39</v>
      </c>
      <c r="C27" s="30" t="s">
        <v>46</v>
      </c>
    </row>
    <row r="28" spans="2:3" x14ac:dyDescent="0.25">
      <c r="B28" t="s">
        <v>40</v>
      </c>
      <c r="C28" s="30" t="s">
        <v>48</v>
      </c>
    </row>
    <row r="29" spans="2:3" x14ac:dyDescent="0.25">
      <c r="B29" t="s">
        <v>41</v>
      </c>
      <c r="C29" s="30" t="s">
        <v>48</v>
      </c>
    </row>
    <row r="36" spans="2:28" x14ac:dyDescent="0.25">
      <c r="B36" t="s">
        <v>2914</v>
      </c>
      <c r="C36" t="s">
        <v>17</v>
      </c>
      <c r="D36" t="s">
        <v>18</v>
      </c>
      <c r="E36" t="s">
        <v>15</v>
      </c>
      <c r="F36" t="s">
        <v>19</v>
      </c>
      <c r="G36" t="s">
        <v>20</v>
      </c>
      <c r="H36" t="s">
        <v>21</v>
      </c>
      <c r="I36" t="s">
        <v>22</v>
      </c>
      <c r="J36" t="s">
        <v>23</v>
      </c>
      <c r="K36" t="s">
        <v>24</v>
      </c>
      <c r="L36" t="s">
        <v>25</v>
      </c>
      <c r="M36" t="s">
        <v>26</v>
      </c>
      <c r="N36" t="s">
        <v>27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 t="s">
        <v>33</v>
      </c>
      <c r="U36" t="s">
        <v>34</v>
      </c>
      <c r="V36" t="s">
        <v>35</v>
      </c>
      <c r="W36" t="s">
        <v>36</v>
      </c>
      <c r="X36" t="s">
        <v>37</v>
      </c>
      <c r="Y36" t="s">
        <v>38</v>
      </c>
      <c r="Z36" t="s">
        <v>39</v>
      </c>
      <c r="AA36" t="s">
        <v>40</v>
      </c>
      <c r="AB36" t="s">
        <v>41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AJ98"/>
  <sheetViews>
    <sheetView tabSelected="1" topLeftCell="X1" zoomScaleNormal="100" workbookViewId="0">
      <selection activeCell="AE14" sqref="AE14"/>
    </sheetView>
  </sheetViews>
  <sheetFormatPr baseColWidth="10" defaultRowHeight="15" x14ac:dyDescent="0.25"/>
  <cols>
    <col min="1" max="1" width="2.5703125" style="13" customWidth="1"/>
    <col min="2" max="2" width="1.28515625" customWidth="1"/>
    <col min="3" max="3" width="2.42578125" customWidth="1"/>
    <col min="4" max="4" width="2.85546875" customWidth="1"/>
    <col min="5" max="5" width="17.5703125" style="15" bestFit="1" customWidth="1"/>
    <col min="6" max="6" width="43.7109375" style="9" customWidth="1"/>
    <col min="7" max="8" width="28.140625" style="9" customWidth="1"/>
    <col min="9" max="11" width="17.5703125" style="15" bestFit="1" customWidth="1"/>
    <col min="12" max="21" width="21.140625" style="27" customWidth="1"/>
    <col min="22" max="22" width="43.42578125" style="27" bestFit="1" customWidth="1"/>
    <col min="23" max="31" width="21.140625" style="27" customWidth="1"/>
    <col min="32" max="32" width="8.42578125" customWidth="1"/>
    <col min="33" max="33" width="25.28515625" customWidth="1"/>
    <col min="34" max="34" width="17.42578125" style="12" customWidth="1"/>
  </cols>
  <sheetData>
    <row r="1" spans="1:36" s="17" customFormat="1" x14ac:dyDescent="0.25">
      <c r="A1" s="16" t="s">
        <v>8</v>
      </c>
      <c r="B1" s="17" t="s">
        <v>0</v>
      </c>
      <c r="C1" s="17" t="s">
        <v>1</v>
      </c>
      <c r="D1" s="17" t="s">
        <v>2</v>
      </c>
      <c r="E1" t="s">
        <v>2909</v>
      </c>
      <c r="F1" t="s">
        <v>2910</v>
      </c>
      <c r="G1" t="s">
        <v>2911</v>
      </c>
      <c r="H1" t="s">
        <v>2916</v>
      </c>
      <c r="I1" t="s">
        <v>2915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29</v>
      </c>
      <c r="S1" t="s">
        <v>28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  <c r="AE1" t="s">
        <v>41</v>
      </c>
      <c r="AG1" s="17" t="s">
        <v>10</v>
      </c>
      <c r="AH1" s="17" t="str">
        <f>TABLA!A1</f>
        <v>PG_CI_OPERADOR</v>
      </c>
      <c r="AI1" s="17" t="s">
        <v>6</v>
      </c>
      <c r="AJ1" s="17" t="str">
        <f>CONCATENATE($AG$1,$AH$1,$AI$1,B3, ", ", C3, ", ", D3, ", ", )</f>
        <v xml:space="preserve">EXECUTE [dbo].[PG_CI_OPERADOR] 0, 0, 0, </v>
      </c>
    </row>
    <row r="2" spans="1:36" x14ac:dyDescent="0.25">
      <c r="A2" s="3"/>
      <c r="B2" s="7" t="s">
        <v>7</v>
      </c>
      <c r="C2" s="7" t="s">
        <v>7</v>
      </c>
      <c r="D2" s="7" t="s">
        <v>7</v>
      </c>
      <c r="E2" s="14" t="s">
        <v>7</v>
      </c>
      <c r="F2" s="8" t="s">
        <v>7</v>
      </c>
      <c r="G2" s="8" t="s">
        <v>7</v>
      </c>
      <c r="H2" s="8">
        <v>0</v>
      </c>
      <c r="I2" s="14" t="s">
        <v>7</v>
      </c>
      <c r="J2" s="14" t="s">
        <v>7</v>
      </c>
      <c r="K2" s="14" t="s">
        <v>7</v>
      </c>
      <c r="L2" s="25" t="s">
        <v>7</v>
      </c>
      <c r="M2" s="25" t="s">
        <v>7</v>
      </c>
      <c r="N2" s="25" t="s">
        <v>7</v>
      </c>
      <c r="O2" s="25" t="s">
        <v>7</v>
      </c>
      <c r="P2" s="25" t="s">
        <v>7</v>
      </c>
      <c r="Q2" s="25" t="s">
        <v>7</v>
      </c>
      <c r="R2" s="25" t="s">
        <v>7</v>
      </c>
      <c r="S2" s="25" t="s">
        <v>7</v>
      </c>
      <c r="T2" s="25" t="s">
        <v>7</v>
      </c>
      <c r="U2" s="25" t="s">
        <v>7</v>
      </c>
      <c r="V2" s="25" t="s">
        <v>7</v>
      </c>
      <c r="W2" s="25" t="s">
        <v>7</v>
      </c>
      <c r="X2" s="25" t="s">
        <v>7</v>
      </c>
      <c r="Y2" s="25" t="s">
        <v>7</v>
      </c>
      <c r="Z2" s="25" t="s">
        <v>7</v>
      </c>
      <c r="AA2" s="25" t="s">
        <v>7</v>
      </c>
      <c r="AB2" s="25" t="s">
        <v>7</v>
      </c>
      <c r="AC2" s="14" t="s">
        <v>7</v>
      </c>
      <c r="AD2" s="25" t="s">
        <v>7</v>
      </c>
      <c r="AE2" s="25" t="s">
        <v>7</v>
      </c>
      <c r="AF2" s="1"/>
      <c r="AG2" s="2" t="str">
        <f>"-- =========================================================="</f>
        <v>-- ==========================================================</v>
      </c>
      <c r="AH2" s="10"/>
      <c r="AI2" s="6"/>
      <c r="AJ2" s="1"/>
    </row>
    <row r="3" spans="1:36" s="10" customFormat="1" x14ac:dyDescent="0.25">
      <c r="A3" s="18"/>
      <c r="B3" s="19">
        <v>0</v>
      </c>
      <c r="C3" s="19">
        <v>0</v>
      </c>
      <c r="D3" s="19">
        <v>0</v>
      </c>
      <c r="E3" s="28">
        <v>333</v>
      </c>
      <c r="F3" s="20" t="str">
        <f>CONCATENATE(M3," ",N3,", ",L3)</f>
        <v xml:space="preserve">ALCANTARA ROA, ALBINO </v>
      </c>
      <c r="G3" s="21"/>
      <c r="H3" s="21">
        <v>0</v>
      </c>
      <c r="I3" s="28">
        <v>2</v>
      </c>
      <c r="J3" s="28">
        <v>0</v>
      </c>
      <c r="K3" s="28">
        <v>2</v>
      </c>
      <c r="L3" s="26" t="s">
        <v>2111</v>
      </c>
      <c r="M3" s="26" t="s">
        <v>1695</v>
      </c>
      <c r="N3" s="26" t="s">
        <v>1696</v>
      </c>
      <c r="O3" s="26" t="s">
        <v>2312</v>
      </c>
      <c r="P3" s="26" t="s">
        <v>83</v>
      </c>
      <c r="Q3" s="26">
        <v>6755623565</v>
      </c>
      <c r="R3" s="23">
        <v>20515</v>
      </c>
      <c r="S3" s="23">
        <v>41148</v>
      </c>
      <c r="T3" s="35" t="s">
        <v>84</v>
      </c>
      <c r="U3" s="26"/>
      <c r="V3" s="26" t="s">
        <v>2433</v>
      </c>
      <c r="W3" s="26" t="s">
        <v>2508</v>
      </c>
      <c r="X3" s="26" t="s">
        <v>2856</v>
      </c>
      <c r="Y3" s="26" t="s">
        <v>86</v>
      </c>
      <c r="Z3" s="26">
        <v>55600</v>
      </c>
      <c r="AA3" s="26" t="s">
        <v>87</v>
      </c>
      <c r="AB3" s="26" t="s">
        <v>2902</v>
      </c>
      <c r="AC3" s="23">
        <v>43174</v>
      </c>
      <c r="AD3" s="26">
        <v>110.59</v>
      </c>
      <c r="AE3" s="26">
        <v>116.04</v>
      </c>
      <c r="AG3" s="22" t="str">
        <f>CONCATENATE($AJ$1,E3,", '",F3,"' , '",G3,"',",H3,"   , ",I3," , ",J3,", ",K3,",'",L3,"', '",M3,"', '",N3,"' , '",O3,"', '",P3,"', '",Q3,"', '",TEXT(R3,"AAAA-MM-DD"),"', '",TEXT(S3,"AAAA-MM-DD"),"','", T3,"','",U3,"','",V3,"','",W3,"','",X3,"','",Y3,"','",Z3,"','",AA3,"','",AB3,"','",TEXT(AC3,"AAAA-MM-DD"),"', ",AD3,",",AE3)</f>
        <v>EXECUTE [dbo].[PG_CI_OPERADOR] 0, 0, 0, 333, 'ALCANTARA ROA, ALBINO ' , '',0   , 2 , 0, 2,'ALBINO ', 'ALCANTARA', 'ROA' , 'AARA560301K62', 'AARA560301HMCLXL06', '6755623565', '1956-03-01', '2012-08-27','04455 19761014','','GUARANA','MZ-13','LT-129','SANTA FE HOMEX','55600','ZUMPANGO','MOR05244','2018-03-15', 110.59,116.04</v>
      </c>
      <c r="AH3" s="11"/>
    </row>
    <row r="4" spans="1:36" s="10" customFormat="1" x14ac:dyDescent="0.25">
      <c r="A4" s="18"/>
      <c r="B4" s="19">
        <v>0</v>
      </c>
      <c r="C4" s="19">
        <v>0</v>
      </c>
      <c r="D4" s="19">
        <v>0</v>
      </c>
      <c r="E4" s="28">
        <v>334</v>
      </c>
      <c r="F4" s="20" t="str">
        <f t="shared" ref="F4:F67" si="0">CONCATENATE(M4," ",N4,", ",L4)</f>
        <v xml:space="preserve">ALMEIDA CRUZ, ALADINO </v>
      </c>
      <c r="G4" s="21"/>
      <c r="H4" s="21">
        <v>0</v>
      </c>
      <c r="I4" s="28">
        <v>1</v>
      </c>
      <c r="J4" s="28">
        <v>2</v>
      </c>
      <c r="K4" s="28">
        <v>2</v>
      </c>
      <c r="L4" s="26" t="s">
        <v>2112</v>
      </c>
      <c r="M4" s="26" t="s">
        <v>1698</v>
      </c>
      <c r="N4" s="26" t="s">
        <v>1699</v>
      </c>
      <c r="O4" s="26" t="s">
        <v>2313</v>
      </c>
      <c r="P4" s="26" t="s">
        <v>93</v>
      </c>
      <c r="Q4" s="26">
        <v>67805917761</v>
      </c>
      <c r="R4" s="23">
        <v>21629</v>
      </c>
      <c r="S4" s="23">
        <v>40963</v>
      </c>
      <c r="T4" s="35" t="s">
        <v>95</v>
      </c>
      <c r="U4" s="26"/>
      <c r="V4" s="26" t="s">
        <v>2727</v>
      </c>
      <c r="W4" s="26">
        <v>17</v>
      </c>
      <c r="X4" s="26"/>
      <c r="Y4" s="26" t="s">
        <v>97</v>
      </c>
      <c r="Z4" s="26">
        <v>91809</v>
      </c>
      <c r="AA4" s="26" t="s">
        <v>98</v>
      </c>
      <c r="AB4" s="26" t="s">
        <v>2857</v>
      </c>
      <c r="AC4" s="23">
        <v>43175</v>
      </c>
      <c r="AD4" s="26">
        <v>110.59</v>
      </c>
      <c r="AE4" s="26">
        <v>116.04</v>
      </c>
      <c r="AG4" s="22" t="str">
        <f t="shared" ref="AG4:AG67" si="1">CONCATENATE($AJ$1,E4,", '",F4,"' , '",G4,"',",H4,"   , ",I4," , ",J4,", ",K4,",'",L4,"', '",M4,"', '",N4,"' , '",O4,"', '",P4,"', '",Q4,"', '",TEXT(R4,"AAAA-MM-DD"),"', '",TEXT(S4,"AAAA-MM-DD"),"','", T4,"','",U4,"','",V4,"','",W4,"','",X4,"','",Y4,"','",Z4,"','",AA4,"','",AB4,"','",TEXT(AC4,"AAAA-MM-DD"),"', ",AD4,",",AE4)</f>
        <v>EXECUTE [dbo].[PG_CI_OPERADOR] 0, 0, 0, 334, 'ALMEIDA CRUZ, ALADINO ' , '',0   , 1 , 2, 2,'ALADINO ', 'ALMEIDA', 'CRUZ' , 'AECA5903202P4', 'AECA590320HVZLRL04', '67805917761', '1959-03-20', '2012-02-24','81 1547 1907','','RIO BLANCO','17','','LOMAS DE REMEDIO II','91809','VERACRUZ','VER101557','2018-03-16', 110.59,116.04</v>
      </c>
      <c r="AH4" s="11"/>
    </row>
    <row r="5" spans="1:36" s="10" customFormat="1" x14ac:dyDescent="0.25">
      <c r="A5" s="18"/>
      <c r="B5" s="19">
        <v>0</v>
      </c>
      <c r="C5" s="19">
        <v>0</v>
      </c>
      <c r="D5" s="19">
        <v>0</v>
      </c>
      <c r="E5" s="28">
        <v>335</v>
      </c>
      <c r="F5" s="20" t="str">
        <f t="shared" si="0"/>
        <v>ALMEIDA LINALDI, LUIS ANTONIO</v>
      </c>
      <c r="G5" s="21"/>
      <c r="H5" s="21">
        <v>0</v>
      </c>
      <c r="I5" s="28">
        <v>1</v>
      </c>
      <c r="J5" s="28">
        <v>2</v>
      </c>
      <c r="K5" s="28">
        <v>2</v>
      </c>
      <c r="L5" s="26" t="s">
        <v>2113</v>
      </c>
      <c r="M5" s="26" t="s">
        <v>1698</v>
      </c>
      <c r="N5" s="26" t="s">
        <v>1701</v>
      </c>
      <c r="O5" s="26" t="s">
        <v>2314</v>
      </c>
      <c r="P5" s="26" t="s">
        <v>101</v>
      </c>
      <c r="Q5" s="26">
        <v>65987957167</v>
      </c>
      <c r="R5" s="23">
        <v>28983</v>
      </c>
      <c r="S5" s="23">
        <v>38637</v>
      </c>
      <c r="T5" s="35"/>
      <c r="U5" s="26"/>
      <c r="V5" s="26" t="s">
        <v>2729</v>
      </c>
      <c r="W5" s="26" t="s">
        <v>2439</v>
      </c>
      <c r="X5" s="26">
        <v>7</v>
      </c>
      <c r="Y5" s="26" t="s">
        <v>103</v>
      </c>
      <c r="Z5" s="26">
        <v>8500</v>
      </c>
      <c r="AA5" s="26" t="s">
        <v>104</v>
      </c>
      <c r="AB5" s="26" t="s">
        <v>2858</v>
      </c>
      <c r="AC5" s="23">
        <v>43176</v>
      </c>
      <c r="AD5" s="26">
        <v>110.59</v>
      </c>
      <c r="AE5" s="26">
        <v>116.35</v>
      </c>
      <c r="AG5" s="22" t="str">
        <f t="shared" si="1"/>
        <v>EXECUTE [dbo].[PG_CI_OPERADOR] 0, 0, 0, 335, 'ALMEIDA LINALDI, LUIS ANTONIO' , '',0   , 1 , 2, 2,'LUIS ANTONIO', 'ALMEIDA', 'LINALDI' , 'AELL7905085I3', 'AELL790508HVZLNS17', '65987957167', '1979-05-08', '2005-10-12','','','12','MZ-21','7','MIGUEL HIDALGO','8500','VILLA HERMOSA','VER012293','2018-03-17', 110.59,116.35</v>
      </c>
      <c r="AH5" s="11"/>
    </row>
    <row r="6" spans="1:36" s="10" customFormat="1" x14ac:dyDescent="0.25">
      <c r="A6" s="18"/>
      <c r="B6" s="19">
        <v>0</v>
      </c>
      <c r="C6" s="19">
        <v>0</v>
      </c>
      <c r="D6" s="19">
        <v>0</v>
      </c>
      <c r="E6" s="28">
        <v>336</v>
      </c>
      <c r="F6" s="20" t="str">
        <f t="shared" si="0"/>
        <v>AMAYA FLORES, JUAN FRANCISCO</v>
      </c>
      <c r="G6" s="21"/>
      <c r="H6" s="21">
        <v>0</v>
      </c>
      <c r="I6" s="28">
        <v>1</v>
      </c>
      <c r="J6" s="28">
        <v>0</v>
      </c>
      <c r="K6" s="28">
        <v>2</v>
      </c>
      <c r="L6" s="26" t="s">
        <v>2114</v>
      </c>
      <c r="M6" s="26" t="s">
        <v>1704</v>
      </c>
      <c r="N6" s="26" t="s">
        <v>1705</v>
      </c>
      <c r="O6" s="26" t="s">
        <v>2315</v>
      </c>
      <c r="P6" s="26" t="s">
        <v>108</v>
      </c>
      <c r="Q6" s="26">
        <v>56977836362</v>
      </c>
      <c r="R6" s="23">
        <v>28633</v>
      </c>
      <c r="S6" s="23">
        <v>38006</v>
      </c>
      <c r="T6" s="35"/>
      <c r="U6" s="26"/>
      <c r="V6" s="26" t="s">
        <v>2730</v>
      </c>
      <c r="W6" s="26">
        <v>109</v>
      </c>
      <c r="X6" s="26"/>
      <c r="Y6" s="26" t="s">
        <v>110</v>
      </c>
      <c r="Z6" s="26">
        <v>45600</v>
      </c>
      <c r="AA6" s="26" t="s">
        <v>111</v>
      </c>
      <c r="AB6" s="26" t="s">
        <v>2859</v>
      </c>
      <c r="AC6" s="23">
        <v>43177</v>
      </c>
      <c r="AD6" s="26">
        <v>110.59</v>
      </c>
      <c r="AE6" s="26">
        <v>116.35</v>
      </c>
      <c r="AG6" s="22" t="str">
        <f t="shared" si="1"/>
        <v>EXECUTE [dbo].[PG_CI_OPERADOR] 0, 0, 0, 336, 'AMAYA FLORES, JUAN FRANCISCO' , '',0   , 1 , 0, 2,'JUAN FRANCISCO', 'AMAYA', 'FLORES' , 'AAFJ780523U11', 'AAFJ780523HJCMLN07', '56977836362', '1978-05-23', '2004-01-20','','','VALENTINA CIEN','109','','FRACC. REAL DE TULIPANES','45600','TLAQUEPAQUE','','2018-03-18', 110.59,116.35</v>
      </c>
      <c r="AH6" s="11"/>
    </row>
    <row r="7" spans="1:36" s="10" customFormat="1" x14ac:dyDescent="0.25">
      <c r="A7" s="18"/>
      <c r="B7" s="19">
        <v>0</v>
      </c>
      <c r="C7" s="19">
        <v>0</v>
      </c>
      <c r="D7" s="19">
        <v>0</v>
      </c>
      <c r="E7" s="28">
        <v>337</v>
      </c>
      <c r="F7" s="20" t="str">
        <f t="shared" si="0"/>
        <v xml:space="preserve">APODACA MENDOZA, ALEJANDRO </v>
      </c>
      <c r="G7" s="21"/>
      <c r="H7" s="21">
        <v>0</v>
      </c>
      <c r="I7" s="28">
        <v>1</v>
      </c>
      <c r="J7" s="28">
        <v>0</v>
      </c>
      <c r="K7" s="28">
        <v>2</v>
      </c>
      <c r="L7" s="26" t="s">
        <v>2115</v>
      </c>
      <c r="M7" s="26" t="s">
        <v>1708</v>
      </c>
      <c r="N7" s="26" t="s">
        <v>1709</v>
      </c>
      <c r="O7" s="26" t="s">
        <v>2316</v>
      </c>
      <c r="P7" s="26" t="s">
        <v>114</v>
      </c>
      <c r="Q7" s="26">
        <v>92028525548</v>
      </c>
      <c r="R7" s="23">
        <v>31174</v>
      </c>
      <c r="S7" s="23">
        <v>37438</v>
      </c>
      <c r="T7" s="35"/>
      <c r="U7" s="26"/>
      <c r="V7" s="26" t="s">
        <v>2731</v>
      </c>
      <c r="W7" s="26">
        <v>6171</v>
      </c>
      <c r="X7" s="26"/>
      <c r="Y7" s="26" t="s">
        <v>116</v>
      </c>
      <c r="Z7" s="26">
        <v>32690</v>
      </c>
      <c r="AA7" s="26" t="s">
        <v>117</v>
      </c>
      <c r="AB7" s="26" t="s">
        <v>2859</v>
      </c>
      <c r="AC7" s="23">
        <v>43210</v>
      </c>
      <c r="AD7" s="26">
        <v>213.43</v>
      </c>
      <c r="AE7" s="26">
        <v>224.54</v>
      </c>
      <c r="AG7" s="22" t="str">
        <f t="shared" si="1"/>
        <v>EXECUTE [dbo].[PG_CI_OPERADOR] 0, 0, 0, 337, 'APODACA MENDOZA, ALEJANDRO ' , '',0   , 1 , 0, 2,'ALEJANDRO ', 'APODACA', 'MENDOZA' , 'AOMA850507GA2', 'AOMA850507HCHPNL01', '92028525548', '1985-05-07', '2002-07-01','','','MONTES ROCALLOSOS','6171','','LOMAS DE SAN JOSE','32690','CD. JUAREZ','','2018-04-20', 213.43,224.54</v>
      </c>
      <c r="AH7" s="11"/>
    </row>
    <row r="8" spans="1:36" s="10" customFormat="1" x14ac:dyDescent="0.25">
      <c r="A8" s="18"/>
      <c r="B8" s="19">
        <v>0</v>
      </c>
      <c r="C8" s="19">
        <v>0</v>
      </c>
      <c r="D8" s="19">
        <v>0</v>
      </c>
      <c r="E8" s="28">
        <v>338</v>
      </c>
      <c r="F8" s="20" t="str">
        <f t="shared" si="0"/>
        <v xml:space="preserve">APODACA MENDOZA, SERGIO </v>
      </c>
      <c r="G8" s="21"/>
      <c r="H8" s="21">
        <v>0</v>
      </c>
      <c r="I8" s="28">
        <v>2</v>
      </c>
      <c r="J8" s="28">
        <v>2</v>
      </c>
      <c r="K8" s="28">
        <v>2</v>
      </c>
      <c r="L8" s="26" t="s">
        <v>2116</v>
      </c>
      <c r="M8" s="26" t="s">
        <v>1708</v>
      </c>
      <c r="N8" s="26" t="s">
        <v>1709</v>
      </c>
      <c r="O8" s="26" t="s">
        <v>2317</v>
      </c>
      <c r="P8" s="26" t="s">
        <v>121</v>
      </c>
      <c r="Q8" s="26">
        <v>33008410426</v>
      </c>
      <c r="R8" s="23">
        <v>30710</v>
      </c>
      <c r="S8" s="23">
        <v>42342</v>
      </c>
      <c r="T8" s="35" t="s">
        <v>122</v>
      </c>
      <c r="U8" s="26"/>
      <c r="V8" s="26" t="s">
        <v>2732</v>
      </c>
      <c r="W8" s="26" t="s">
        <v>2502</v>
      </c>
      <c r="X8" s="26"/>
      <c r="Y8" s="26" t="s">
        <v>124</v>
      </c>
      <c r="Z8" s="26">
        <v>54197</v>
      </c>
      <c r="AA8" s="26" t="s">
        <v>125</v>
      </c>
      <c r="AB8" s="26" t="s">
        <v>2860</v>
      </c>
      <c r="AC8" s="23">
        <v>43211</v>
      </c>
      <c r="AD8" s="26">
        <v>110.59</v>
      </c>
      <c r="AE8" s="26">
        <v>115.59</v>
      </c>
      <c r="AG8" s="22" t="str">
        <f t="shared" si="1"/>
        <v>EXECUTE [dbo].[PG_CI_OPERADOR] 0, 0, 0, 338, 'APODACA MENDOZA, SERGIO ' , '',0   , 2 , 2, 2,'SERGIO ', 'APODACA', 'MENDOZA' , 'AOMS840129H32', 'AOMS840129HCHPNR04', '33008410426', '1984-01-29', '2015-12-04','614 494 4361','','SAN JUAN','MZ-23','','SAN ISIDRO IXHUATEPEC','54197','TLALNEPANTLA','COAH21516','2018-04-21', 110.59,115.59</v>
      </c>
      <c r="AH8" s="11"/>
    </row>
    <row r="9" spans="1:36" s="10" customFormat="1" x14ac:dyDescent="0.25">
      <c r="A9" s="18"/>
      <c r="B9" s="19">
        <v>0</v>
      </c>
      <c r="C9" s="19">
        <v>0</v>
      </c>
      <c r="D9" s="19">
        <v>0</v>
      </c>
      <c r="E9" s="28">
        <v>339</v>
      </c>
      <c r="F9" s="20" t="str">
        <f t="shared" si="0"/>
        <v xml:space="preserve">ARGUETA HERNANDEZ, ALFONSO </v>
      </c>
      <c r="G9" s="21"/>
      <c r="H9" s="21">
        <v>0</v>
      </c>
      <c r="I9" s="28">
        <v>1</v>
      </c>
      <c r="J9" s="28">
        <v>2</v>
      </c>
      <c r="K9" s="28">
        <v>2</v>
      </c>
      <c r="L9" s="26" t="s">
        <v>2117</v>
      </c>
      <c r="M9" s="26" t="s">
        <v>1712</v>
      </c>
      <c r="N9" s="26" t="s">
        <v>1713</v>
      </c>
      <c r="O9" s="26" t="s">
        <v>2318</v>
      </c>
      <c r="P9" s="26" t="s">
        <v>128</v>
      </c>
      <c r="Q9" s="26">
        <v>6805502553</v>
      </c>
      <c r="R9" s="23">
        <v>20403</v>
      </c>
      <c r="S9" s="23">
        <v>41162</v>
      </c>
      <c r="T9" s="35" t="s">
        <v>129</v>
      </c>
      <c r="U9" s="26"/>
      <c r="V9" s="26" t="s">
        <v>2442</v>
      </c>
      <c r="W9" s="26" t="s">
        <v>13</v>
      </c>
      <c r="X9" s="26"/>
      <c r="Y9" s="26" t="s">
        <v>131</v>
      </c>
      <c r="Z9" s="26">
        <v>42814</v>
      </c>
      <c r="AA9" s="26" t="s">
        <v>132</v>
      </c>
      <c r="AB9" s="26" t="s">
        <v>2859</v>
      </c>
      <c r="AC9" s="23">
        <v>43213</v>
      </c>
      <c r="AD9" s="26">
        <v>110.59</v>
      </c>
      <c r="AE9" s="26">
        <v>116.04</v>
      </c>
      <c r="AG9" s="22" t="str">
        <f t="shared" si="1"/>
        <v>EXECUTE [dbo].[PG_CI_OPERADOR] 0, 0, 0, 339, 'ARGUETA HERNANDEZ, ALFONSO ' , '',0   , 1 , 2, 2,'ALFONSO ', 'ARGUETA', 'HERNANDEZ' , 'AUHA551110C82', 'AUHA551110HDFRRL01', '6805502553', '1955-11-10', '2012-09-10','01773 1461954','','ROBLE','S/N','','NANTZHA','42814','TULA DE ALLENDE','','2018-04-23', 110.59,116.04</v>
      </c>
      <c r="AH9" s="11"/>
    </row>
    <row r="10" spans="1:36" s="10" customFormat="1" x14ac:dyDescent="0.25">
      <c r="A10" s="18"/>
      <c r="B10" s="19">
        <v>0</v>
      </c>
      <c r="C10" s="19">
        <v>0</v>
      </c>
      <c r="D10" s="19">
        <v>0</v>
      </c>
      <c r="E10" s="28">
        <v>340</v>
      </c>
      <c r="F10" s="20" t="str">
        <f t="shared" si="0"/>
        <v xml:space="preserve">ARGUETA VARGAS, FERNANDO </v>
      </c>
      <c r="G10" s="21"/>
      <c r="H10" s="21">
        <v>0</v>
      </c>
      <c r="I10" s="28">
        <v>1</v>
      </c>
      <c r="J10" s="28">
        <v>0</v>
      </c>
      <c r="K10" s="28">
        <v>2</v>
      </c>
      <c r="L10" s="26" t="s">
        <v>2118</v>
      </c>
      <c r="M10" s="26" t="s">
        <v>1712</v>
      </c>
      <c r="N10" s="26" t="s">
        <v>1715</v>
      </c>
      <c r="O10" s="26" t="s">
        <v>2319</v>
      </c>
      <c r="P10" s="26" t="s">
        <v>135</v>
      </c>
      <c r="Q10" s="26">
        <v>71785908964</v>
      </c>
      <c r="R10" s="23">
        <v>21755</v>
      </c>
      <c r="S10" s="23">
        <v>38063</v>
      </c>
      <c r="T10" s="35"/>
      <c r="U10" s="26"/>
      <c r="V10" s="26" t="s">
        <v>2443</v>
      </c>
      <c r="W10" s="26">
        <v>209</v>
      </c>
      <c r="X10" s="26"/>
      <c r="Y10" s="26" t="s">
        <v>137</v>
      </c>
      <c r="Z10" s="26">
        <v>45400</v>
      </c>
      <c r="AA10" s="26" t="s">
        <v>138</v>
      </c>
      <c r="AB10" s="26" t="s">
        <v>2859</v>
      </c>
      <c r="AC10" s="23">
        <v>43215</v>
      </c>
      <c r="AD10" s="26">
        <v>110.59</v>
      </c>
      <c r="AE10" s="26">
        <v>116.35</v>
      </c>
      <c r="AG10" s="22" t="str">
        <f t="shared" si="1"/>
        <v>EXECUTE [dbo].[PG_CI_OPERADOR] 0, 0, 0, 340, 'ARGUETA VARGAS, FERNANDO ' , '',0   , 1 , 0, 2,'FERNANDO ', 'ARGUETA', 'VARGAS' , 'AUVF590724KP8', 'AUVF590724HCSRRR06', '71785908964', '1959-07-24', '2004-03-17','','','COLON','209','','TONALA SUR','45400','TONALA','','2018-04-25', 110.59,116.35</v>
      </c>
      <c r="AH10" s="11"/>
    </row>
    <row r="11" spans="1:36" s="10" customFormat="1" x14ac:dyDescent="0.25">
      <c r="A11" s="18"/>
      <c r="B11" s="19">
        <v>0</v>
      </c>
      <c r="C11" s="19">
        <v>0</v>
      </c>
      <c r="D11" s="19">
        <v>0</v>
      </c>
      <c r="E11" s="28">
        <v>341</v>
      </c>
      <c r="F11" s="20" t="str">
        <f t="shared" si="0"/>
        <v>AVILA RODRIGUEZ, JAVIER ANTONIO</v>
      </c>
      <c r="G11" s="21"/>
      <c r="H11" s="21">
        <v>0</v>
      </c>
      <c r="I11" s="28">
        <v>1</v>
      </c>
      <c r="J11" s="28">
        <v>2</v>
      </c>
      <c r="K11" s="28">
        <v>2</v>
      </c>
      <c r="L11" s="26" t="s">
        <v>2119</v>
      </c>
      <c r="M11" s="26" t="s">
        <v>1717</v>
      </c>
      <c r="N11" s="26" t="s">
        <v>1718</v>
      </c>
      <c r="O11" s="26" t="s">
        <v>2320</v>
      </c>
      <c r="P11" s="26" t="s">
        <v>140</v>
      </c>
      <c r="Q11" s="26">
        <v>43937014173</v>
      </c>
      <c r="R11" s="23">
        <v>25581</v>
      </c>
      <c r="S11" s="23">
        <v>42006</v>
      </c>
      <c r="T11" s="35" t="s">
        <v>141</v>
      </c>
      <c r="U11" s="26"/>
      <c r="V11" s="26" t="s">
        <v>2444</v>
      </c>
      <c r="W11" s="26">
        <v>98</v>
      </c>
      <c r="X11" s="26"/>
      <c r="Y11" s="26" t="s">
        <v>143</v>
      </c>
      <c r="Z11" s="26">
        <v>73780</v>
      </c>
      <c r="AA11" s="26" t="s">
        <v>144</v>
      </c>
      <c r="AB11" s="26" t="s">
        <v>2861</v>
      </c>
      <c r="AC11" s="23">
        <v>43226</v>
      </c>
      <c r="AD11" s="26">
        <v>110.59</v>
      </c>
      <c r="AE11" s="26">
        <v>115.59</v>
      </c>
      <c r="AG11" s="22" t="str">
        <f t="shared" si="1"/>
        <v>EXECUTE [dbo].[PG_CI_OPERADOR] 0, 0, 0, 341, 'AVILA RODRIGUEZ, JAVIER ANTONIO' , '',0   , 1 , 2, 2,'JAVIER ANTONIO', 'AVILA', 'RODRIGUEZ' , 'AIRJ700113MEA', 'AIRJ700113HPLVDV03', '43937014173', '1970-01-13', '2015-01-02','871 160 6836','','GUERREO','98','','BARRIO DE SAN MIGUEL','73780','LIBRES','PUE000411','2018-05-06', 110.59,115.59</v>
      </c>
      <c r="AH11" s="11"/>
    </row>
    <row r="12" spans="1:36" s="10" customFormat="1" x14ac:dyDescent="0.25">
      <c r="A12" s="18"/>
      <c r="B12" s="19">
        <v>0</v>
      </c>
      <c r="C12" s="19">
        <v>0</v>
      </c>
      <c r="D12" s="19">
        <v>0</v>
      </c>
      <c r="E12" s="28">
        <v>342</v>
      </c>
      <c r="F12" s="20" t="str">
        <f t="shared" si="0"/>
        <v xml:space="preserve">AYALA OSUNA, ROSARIO </v>
      </c>
      <c r="G12" s="21"/>
      <c r="H12" s="21">
        <v>0</v>
      </c>
      <c r="I12" s="28">
        <v>1</v>
      </c>
      <c r="J12" s="28">
        <v>2</v>
      </c>
      <c r="K12" s="28">
        <v>2</v>
      </c>
      <c r="L12" s="26" t="s">
        <v>2120</v>
      </c>
      <c r="M12" s="26" t="s">
        <v>1720</v>
      </c>
      <c r="N12" s="26" t="s">
        <v>1721</v>
      </c>
      <c r="O12" s="26" t="s">
        <v>2321</v>
      </c>
      <c r="P12" s="26" t="s">
        <v>148</v>
      </c>
      <c r="Q12" s="26">
        <v>23846428169</v>
      </c>
      <c r="R12" s="23">
        <v>23484</v>
      </c>
      <c r="S12" s="23">
        <v>41478</v>
      </c>
      <c r="T12" s="35" t="s">
        <v>149</v>
      </c>
      <c r="U12" s="26"/>
      <c r="V12" s="26" t="s">
        <v>2733</v>
      </c>
      <c r="W12" s="26">
        <v>2228</v>
      </c>
      <c r="X12" s="26"/>
      <c r="Y12" s="26" t="s">
        <v>151</v>
      </c>
      <c r="Z12" s="26">
        <v>81371</v>
      </c>
      <c r="AA12" s="26" t="s">
        <v>152</v>
      </c>
      <c r="AB12" s="26" t="s">
        <v>2862</v>
      </c>
      <c r="AC12" s="23">
        <v>43227</v>
      </c>
      <c r="AD12" s="26">
        <v>110.59</v>
      </c>
      <c r="AE12" s="26">
        <v>115.89</v>
      </c>
      <c r="AG12" s="22" t="str">
        <f t="shared" si="1"/>
        <v>EXECUTE [dbo].[PG_CI_OPERADOR] 0, 0, 0, 342, 'AYALA OSUNA, ROSARIO ' , '',0   , 1 , 2, 2,'ROSARIO ', 'AYALA', 'OSUNA' , 'AAOR6404178B7', 'AAOR640417HSLYSS04', '23846428169', '1964-04-17', '2013-07-23','668 813 3735','','SANTA YOLANDA','2228','','FRACC. SAN JOSE LOS MOCHIS','81371','AHOME','SIN101901','2018-05-07', 110.59,115.89</v>
      </c>
      <c r="AH12" s="11"/>
    </row>
    <row r="13" spans="1:36" s="10" customFormat="1" x14ac:dyDescent="0.25">
      <c r="A13" s="18"/>
      <c r="B13" s="19">
        <v>0</v>
      </c>
      <c r="C13" s="19">
        <v>0</v>
      </c>
      <c r="D13" s="19">
        <v>0</v>
      </c>
      <c r="E13" s="28">
        <v>343</v>
      </c>
      <c r="F13" s="20" t="str">
        <f t="shared" si="0"/>
        <v xml:space="preserve">BLANCAS RAMIREZ, DAVID </v>
      </c>
      <c r="G13" s="21"/>
      <c r="H13" s="21">
        <v>0</v>
      </c>
      <c r="I13" s="28">
        <v>1</v>
      </c>
      <c r="J13" s="28">
        <v>0</v>
      </c>
      <c r="K13" s="28">
        <v>2</v>
      </c>
      <c r="L13" s="26" t="s">
        <v>2121</v>
      </c>
      <c r="M13" s="26" t="s">
        <v>1723</v>
      </c>
      <c r="N13" s="26" t="s">
        <v>1724</v>
      </c>
      <c r="O13" s="26" t="s">
        <v>2322</v>
      </c>
      <c r="P13" s="26" t="s">
        <v>156</v>
      </c>
      <c r="Q13" s="26">
        <v>24846825321</v>
      </c>
      <c r="R13" s="23">
        <v>25027</v>
      </c>
      <c r="S13" s="23">
        <v>37340</v>
      </c>
      <c r="T13" s="35" t="s">
        <v>157</v>
      </c>
      <c r="U13" s="26"/>
      <c r="V13" s="26" t="s">
        <v>2445</v>
      </c>
      <c r="W13" s="26">
        <v>1029</v>
      </c>
      <c r="X13" s="26"/>
      <c r="Y13" s="26" t="s">
        <v>159</v>
      </c>
      <c r="Z13" s="26">
        <v>84000</v>
      </c>
      <c r="AA13" s="26" t="s">
        <v>160</v>
      </c>
      <c r="AB13" s="26" t="s">
        <v>2859</v>
      </c>
      <c r="AC13" s="23">
        <v>43228</v>
      </c>
      <c r="AD13" s="26">
        <v>110.59</v>
      </c>
      <c r="AE13" s="26">
        <v>116.35</v>
      </c>
      <c r="AG13" s="22" t="str">
        <f t="shared" si="1"/>
        <v>EXECUTE [dbo].[PG_CI_OPERADOR] 0, 0, 0, 343, 'BLANCAS RAMIREZ, DAVID ' , '',0   , 1 , 0, 2,'DAVID ', 'BLANCAS', 'RAMIREZ' , 'BARD680708394', 'BARD680708HSRLMV06', '24846825321', '1968-07-08', '2002-03-25','045 644 15 76 229','','AOAHUILA','1029','','FRACC. VILLA BONITA','84000','NOGALES','','2018-05-08', 110.59,116.35</v>
      </c>
      <c r="AH13" s="11"/>
    </row>
    <row r="14" spans="1:36" s="10" customFormat="1" x14ac:dyDescent="0.25">
      <c r="A14" s="18"/>
      <c r="B14" s="19">
        <v>0</v>
      </c>
      <c r="C14" s="19">
        <v>0</v>
      </c>
      <c r="D14" s="19">
        <v>0</v>
      </c>
      <c r="E14" s="28">
        <v>344</v>
      </c>
      <c r="F14" s="20" t="str">
        <f t="shared" si="0"/>
        <v>BUSTOS TAPIA, JOSE ANDRES</v>
      </c>
      <c r="G14" s="21"/>
      <c r="H14" s="21">
        <v>0</v>
      </c>
      <c r="I14" s="28">
        <v>2</v>
      </c>
      <c r="J14" s="28">
        <v>0</v>
      </c>
      <c r="K14" s="28">
        <v>2</v>
      </c>
      <c r="L14" s="26" t="s">
        <v>2122</v>
      </c>
      <c r="M14" s="26" t="s">
        <v>1726</v>
      </c>
      <c r="N14" s="26" t="s">
        <v>1727</v>
      </c>
      <c r="O14" s="26" t="s">
        <v>2323</v>
      </c>
      <c r="P14" s="26" t="s">
        <v>163</v>
      </c>
      <c r="Q14" s="26">
        <v>1796183661</v>
      </c>
      <c r="R14" s="23">
        <v>22316</v>
      </c>
      <c r="S14" s="23">
        <v>40686</v>
      </c>
      <c r="T14" s="35" t="s">
        <v>164</v>
      </c>
      <c r="U14" s="26"/>
      <c r="V14" s="26" t="s">
        <v>2446</v>
      </c>
      <c r="W14" s="26" t="s">
        <v>2447</v>
      </c>
      <c r="X14" s="26" t="s">
        <v>2448</v>
      </c>
      <c r="Y14" s="26" t="s">
        <v>166</v>
      </c>
      <c r="Z14" s="26">
        <v>55230</v>
      </c>
      <c r="AA14" s="26" t="s">
        <v>167</v>
      </c>
      <c r="AB14" s="26" t="s">
        <v>2863</v>
      </c>
      <c r="AC14" s="23">
        <v>43230</v>
      </c>
      <c r="AD14" s="26">
        <v>110.59</v>
      </c>
      <c r="AE14" s="26">
        <v>116.19</v>
      </c>
      <c r="AG14" s="22" t="str">
        <f t="shared" si="1"/>
        <v>EXECUTE [dbo].[PG_CI_OPERADOR] 0, 0, 0, 344, 'BUSTOS TAPIA, JOSE ANDRES' , '',0   , 2 , 0, 2,'JOSE ANDRES', 'BUSTOS', 'TAPIA' , 'BUTA610204AM2', 'BUTA610204HDFSPN05', '1796183661', '1961-02-04', '2011-05-23','2646 2934','','VENADOS','MZ-3','LT-10','POLIGONO 3','55230','ECATEPEC','VER012089','2018-05-10', 110.59,116.19</v>
      </c>
      <c r="AH14" s="11"/>
    </row>
    <row r="15" spans="1:36" s="10" customFormat="1" x14ac:dyDescent="0.25">
      <c r="A15" s="18"/>
      <c r="B15" s="19">
        <v>0</v>
      </c>
      <c r="C15" s="19">
        <v>0</v>
      </c>
      <c r="D15" s="19">
        <v>0</v>
      </c>
      <c r="E15" s="28">
        <v>345</v>
      </c>
      <c r="F15" s="20" t="str">
        <f t="shared" si="0"/>
        <v xml:space="preserve">CARBAJAL TORRES, EDMUNDO </v>
      </c>
      <c r="G15" s="21"/>
      <c r="H15" s="21">
        <v>0</v>
      </c>
      <c r="I15" s="28">
        <v>1</v>
      </c>
      <c r="J15" s="28">
        <v>2</v>
      </c>
      <c r="K15" s="28">
        <v>2</v>
      </c>
      <c r="L15" s="26" t="s">
        <v>2123</v>
      </c>
      <c r="M15" s="26" t="s">
        <v>1730</v>
      </c>
      <c r="N15" s="26" t="s">
        <v>1731</v>
      </c>
      <c r="O15" s="26" t="s">
        <v>2324</v>
      </c>
      <c r="P15" s="26" t="s">
        <v>170</v>
      </c>
      <c r="Q15" s="26">
        <v>33846133412</v>
      </c>
      <c r="R15" s="23">
        <v>22466</v>
      </c>
      <c r="S15" s="23">
        <v>41962</v>
      </c>
      <c r="T15" s="35" t="s">
        <v>171</v>
      </c>
      <c r="U15" s="26"/>
      <c r="V15" s="26" t="s">
        <v>2734</v>
      </c>
      <c r="W15" s="26">
        <v>168</v>
      </c>
      <c r="X15" s="26"/>
      <c r="Y15" s="26" t="s">
        <v>173</v>
      </c>
      <c r="Z15" s="26">
        <v>31107</v>
      </c>
      <c r="AA15" s="26" t="s">
        <v>118</v>
      </c>
      <c r="AB15" s="26" t="s">
        <v>2864</v>
      </c>
      <c r="AC15" s="23">
        <v>43231</v>
      </c>
      <c r="AD15" s="26">
        <v>110.59</v>
      </c>
      <c r="AE15" s="26">
        <v>115.59</v>
      </c>
      <c r="AG15" s="22" t="str">
        <f t="shared" si="1"/>
        <v>EXECUTE [dbo].[PG_CI_OPERADOR] 0, 0, 0, 345, 'CARBAJAL TORRES, EDMUNDO ' , '',0   , 1 , 2, 2,'EDMUNDO ', 'CARBAJAL', 'TORRES' , 'CATE610704CX9', 'CATE610704HCHRRD01', '33846133412', '1961-07-04', '2014-11-19','614 421 4501','','CIUDAD CAMARGO','168','','REVOLUCION','31107','CHIHUAHUA','CHIH10119','2018-05-11', 110.59,115.59</v>
      </c>
      <c r="AH15" s="11"/>
    </row>
    <row r="16" spans="1:36" s="10" customFormat="1" x14ac:dyDescent="0.25">
      <c r="A16" s="18"/>
      <c r="B16" s="19">
        <v>0</v>
      </c>
      <c r="C16" s="19">
        <v>0</v>
      </c>
      <c r="D16" s="19">
        <v>0</v>
      </c>
      <c r="E16" s="28">
        <v>346</v>
      </c>
      <c r="F16" s="20" t="str">
        <f t="shared" si="0"/>
        <v xml:space="preserve">CARRILLO ALVAREZ, GERARDO </v>
      </c>
      <c r="G16" s="21"/>
      <c r="H16" s="21">
        <v>0</v>
      </c>
      <c r="I16" s="28">
        <v>1</v>
      </c>
      <c r="J16" s="28">
        <v>2</v>
      </c>
      <c r="K16" s="28">
        <v>2</v>
      </c>
      <c r="L16" s="26" t="s">
        <v>2124</v>
      </c>
      <c r="M16" s="26" t="s">
        <v>1733</v>
      </c>
      <c r="N16" s="26" t="s">
        <v>1734</v>
      </c>
      <c r="O16" s="26" t="s">
        <v>2325</v>
      </c>
      <c r="P16" s="26" t="s">
        <v>176</v>
      </c>
      <c r="Q16" s="26">
        <v>31846615727</v>
      </c>
      <c r="R16" s="23">
        <v>24297</v>
      </c>
      <c r="S16" s="23">
        <v>41601</v>
      </c>
      <c r="T16" s="35" t="s">
        <v>177</v>
      </c>
      <c r="U16" s="26"/>
      <c r="V16" s="26" t="s">
        <v>2735</v>
      </c>
      <c r="W16" s="26" t="s">
        <v>2450</v>
      </c>
      <c r="X16" s="26"/>
      <c r="Y16" s="26" t="s">
        <v>179</v>
      </c>
      <c r="Z16" s="26">
        <v>22253</v>
      </c>
      <c r="AA16" s="26" t="s">
        <v>180</v>
      </c>
      <c r="AB16" s="26" t="s">
        <v>2859</v>
      </c>
      <c r="AC16" s="23">
        <v>43294</v>
      </c>
      <c r="AD16" s="26">
        <v>110.59</v>
      </c>
      <c r="AE16" s="26">
        <v>115.59</v>
      </c>
      <c r="AG16" s="22" t="str">
        <f t="shared" si="1"/>
        <v>EXECUTE [dbo].[PG_CI_OPERADOR] 0, 0, 0, 346, 'CARRILLO ALVAREZ, GERARDO ' , '',0   , 1 , 2, 2,'GERARDO ', 'CARRILLO', 'ALVAREZ' , 'CAAG660709FC8', 'CAAG660709HDGRLR03', '31846615727', '1966-07-09', '2013-11-23','045 618 147 8131','','PRIVADA DE LOS TULIPANES','26082-90','','FRACCIONAMIENTO EL REFUGIO','22253','TIJUANA','','2018-07-13', 110.59,115.59</v>
      </c>
      <c r="AH16" s="11"/>
    </row>
    <row r="17" spans="1:34" s="10" customFormat="1" x14ac:dyDescent="0.25">
      <c r="A17" s="18"/>
      <c r="B17" s="19">
        <v>0</v>
      </c>
      <c r="C17" s="19">
        <v>0</v>
      </c>
      <c r="D17" s="19">
        <v>0</v>
      </c>
      <c r="E17" s="28">
        <v>347</v>
      </c>
      <c r="F17" s="20" t="str">
        <f t="shared" si="0"/>
        <v xml:space="preserve">CARRILLO CASTRO, OSCAR </v>
      </c>
      <c r="G17" s="21"/>
      <c r="H17" s="21">
        <v>0</v>
      </c>
      <c r="I17" s="28">
        <v>1</v>
      </c>
      <c r="J17" s="28">
        <v>2</v>
      </c>
      <c r="K17" s="28">
        <v>2</v>
      </c>
      <c r="L17" s="26" t="s">
        <v>2125</v>
      </c>
      <c r="M17" s="26" t="s">
        <v>1733</v>
      </c>
      <c r="N17" s="26" t="s">
        <v>1736</v>
      </c>
      <c r="O17" s="26" t="s">
        <v>2326</v>
      </c>
      <c r="P17" s="26" t="s">
        <v>183</v>
      </c>
      <c r="Q17" s="26">
        <v>24886911684</v>
      </c>
      <c r="R17" s="23">
        <v>25237</v>
      </c>
      <c r="S17" s="23">
        <v>42347</v>
      </c>
      <c r="T17" s="35">
        <v>6441992603</v>
      </c>
      <c r="U17" s="26"/>
      <c r="V17" s="26" t="s">
        <v>2736</v>
      </c>
      <c r="W17" s="26">
        <v>714</v>
      </c>
      <c r="X17" s="26"/>
      <c r="Y17" s="26" t="s">
        <v>185</v>
      </c>
      <c r="Z17" s="26">
        <v>85136</v>
      </c>
      <c r="AA17" s="26" t="s">
        <v>186</v>
      </c>
      <c r="AB17" s="26" t="s">
        <v>2859</v>
      </c>
      <c r="AC17" s="23">
        <v>43296</v>
      </c>
      <c r="AD17" s="26">
        <v>110.59</v>
      </c>
      <c r="AE17" s="26">
        <v>115.59</v>
      </c>
      <c r="AG17" s="22" t="str">
        <f t="shared" si="1"/>
        <v>EXECUTE [dbo].[PG_CI_OPERADOR] 0, 0, 0, 347, 'CARRILLO CASTRO, OSCAR ' , '',0   , 1 , 2, 2,'OSCAR ', 'CARRILLO', 'CASTRO' , 'CACX690203FN1', 'CXCO690203HSRRSS09', '24886911684', '1969-02-03', '2015-12-09','6441992603','','REYES DE INGLATERRA','714','','VILLA DEL REY','85136','CD. OBREGON','','2018-07-15', 110.59,115.59</v>
      </c>
      <c r="AH17" s="11"/>
    </row>
    <row r="18" spans="1:34" s="10" customFormat="1" x14ac:dyDescent="0.25">
      <c r="A18" s="18"/>
      <c r="B18" s="19">
        <v>0</v>
      </c>
      <c r="C18" s="19">
        <v>0</v>
      </c>
      <c r="D18" s="19">
        <v>0</v>
      </c>
      <c r="E18" s="28">
        <v>348</v>
      </c>
      <c r="F18" s="20" t="str">
        <f t="shared" si="0"/>
        <v>CASARRUBIAS DIAZ, JOSE MANUEL</v>
      </c>
      <c r="G18" s="21"/>
      <c r="H18" s="21">
        <v>0</v>
      </c>
      <c r="I18" s="28">
        <v>1</v>
      </c>
      <c r="J18" s="28">
        <v>2</v>
      </c>
      <c r="K18" s="28">
        <v>2</v>
      </c>
      <c r="L18" s="26" t="s">
        <v>2126</v>
      </c>
      <c r="M18" s="26" t="s">
        <v>1738</v>
      </c>
      <c r="N18" s="26" t="s">
        <v>1739</v>
      </c>
      <c r="O18" s="26" t="s">
        <v>2327</v>
      </c>
      <c r="P18" s="26" t="s">
        <v>188</v>
      </c>
      <c r="Q18" s="26">
        <v>72887109352</v>
      </c>
      <c r="R18" s="23">
        <v>26009</v>
      </c>
      <c r="S18" s="23">
        <v>41379</v>
      </c>
      <c r="T18" s="35" t="s">
        <v>189</v>
      </c>
      <c r="U18" s="26"/>
      <c r="V18" s="26" t="s">
        <v>2737</v>
      </c>
      <c r="W18" s="26">
        <v>164</v>
      </c>
      <c r="X18" s="26"/>
      <c r="Y18" s="26" t="s">
        <v>191</v>
      </c>
      <c r="Z18" s="26">
        <v>39760</v>
      </c>
      <c r="AA18" s="26" t="s">
        <v>192</v>
      </c>
      <c r="AB18" s="26" t="s">
        <v>2903</v>
      </c>
      <c r="AC18" s="23">
        <v>43297</v>
      </c>
      <c r="AD18" s="26">
        <v>110.59</v>
      </c>
      <c r="AE18" s="26">
        <v>115.89</v>
      </c>
      <c r="AG18" s="22" t="str">
        <f t="shared" si="1"/>
        <v>EXECUTE [dbo].[PG_CI_OPERADOR] 0, 0, 0, 348, 'CASARRUBIAS DIAZ, JOSE MANUEL' , '',0   , 1 , 2, 2,'JOSE MANUEL', 'CASARRUBIAS', 'DIAZ' , 'CADM7103171Q7', 'CADM710317HGRSZN13', '72887109352', '1971-03-17', '2013-04-15','01744 405 0975','','JUAN N. ALVAREZ','164','','VICENTE GUERRERO','39760','ACAPULCO','GRO03509','2018-07-16', 110.59,115.89</v>
      </c>
      <c r="AH18" s="11"/>
    </row>
    <row r="19" spans="1:34" s="10" customFormat="1" x14ac:dyDescent="0.25">
      <c r="A19" s="18"/>
      <c r="B19" s="19">
        <v>0</v>
      </c>
      <c r="C19" s="19">
        <v>0</v>
      </c>
      <c r="D19" s="19">
        <v>0</v>
      </c>
      <c r="E19" s="28">
        <v>349</v>
      </c>
      <c r="F19" s="20" t="str">
        <f t="shared" si="0"/>
        <v xml:space="preserve">CASAS HERNANDEZ, IGNACIO </v>
      </c>
      <c r="G19" s="21"/>
      <c r="H19" s="21">
        <v>0</v>
      </c>
      <c r="I19" s="28">
        <v>1</v>
      </c>
      <c r="J19" s="28">
        <v>2</v>
      </c>
      <c r="K19" s="28">
        <v>2</v>
      </c>
      <c r="L19" s="26" t="s">
        <v>2127</v>
      </c>
      <c r="M19" s="26" t="s">
        <v>1741</v>
      </c>
      <c r="N19" s="26" t="s">
        <v>1713</v>
      </c>
      <c r="O19" s="26" t="s">
        <v>2328</v>
      </c>
      <c r="P19" s="26" t="s">
        <v>196</v>
      </c>
      <c r="Q19" s="26">
        <v>13877111107</v>
      </c>
      <c r="R19" s="23">
        <v>26424</v>
      </c>
      <c r="S19" s="23">
        <v>41537</v>
      </c>
      <c r="T19" s="35">
        <v>7717913100</v>
      </c>
      <c r="U19" s="26"/>
      <c r="V19" s="26" t="s">
        <v>2738</v>
      </c>
      <c r="W19" s="26" t="s">
        <v>2452</v>
      </c>
      <c r="X19" s="26" t="s">
        <v>2453</v>
      </c>
      <c r="Y19" s="26" t="s">
        <v>198</v>
      </c>
      <c r="Z19" s="26">
        <v>42186</v>
      </c>
      <c r="AA19" s="26" t="s">
        <v>199</v>
      </c>
      <c r="AB19" s="26" t="s">
        <v>2865</v>
      </c>
      <c r="AC19" s="23">
        <v>43298</v>
      </c>
      <c r="AD19" s="26">
        <v>110.59</v>
      </c>
      <c r="AE19" s="26">
        <v>115.89</v>
      </c>
      <c r="AG19" s="22" t="str">
        <f t="shared" si="1"/>
        <v>EXECUTE [dbo].[PG_CI_OPERADOR] 0, 0, 0, 349, 'CASAS HERNANDEZ, IGNACIO ' , '',0   , 1 , 2, 2,'IGNACIO ', 'CASAS', 'HERNANDEZ' , 'CAHI720505H10', 'CAHI720505HHGSRG02', '13877111107', '1972-05-05', '2013-09-20','7717913100','','SANTA JULIA','MZ-53','LT-3','FRACC. LA PROVIDENCIA','42186','MINERAL DE LA REFORMA','TAMP30375','2018-07-17', 110.59,115.89</v>
      </c>
      <c r="AH19" s="11"/>
    </row>
    <row r="20" spans="1:34" s="10" customFormat="1" x14ac:dyDescent="0.25">
      <c r="A20" s="18"/>
      <c r="B20" s="19">
        <v>0</v>
      </c>
      <c r="C20" s="19">
        <v>0</v>
      </c>
      <c r="D20" s="19">
        <v>0</v>
      </c>
      <c r="E20" s="28">
        <v>350</v>
      </c>
      <c r="F20" s="20" t="str">
        <f t="shared" si="0"/>
        <v>CASAS HERNANDEZ, JUAN GABRIEL</v>
      </c>
      <c r="G20" s="21"/>
      <c r="H20" s="21">
        <v>0</v>
      </c>
      <c r="I20" s="28">
        <v>2</v>
      </c>
      <c r="J20" s="28">
        <v>3</v>
      </c>
      <c r="K20" s="28">
        <v>2</v>
      </c>
      <c r="L20" s="26" t="s">
        <v>2128</v>
      </c>
      <c r="M20" s="26" t="s">
        <v>1741</v>
      </c>
      <c r="N20" s="26" t="s">
        <v>1713</v>
      </c>
      <c r="O20" s="26" t="s">
        <v>2329</v>
      </c>
      <c r="P20" s="26" t="s">
        <v>203</v>
      </c>
      <c r="Q20" s="26">
        <v>13937504770</v>
      </c>
      <c r="R20" s="23">
        <v>27775</v>
      </c>
      <c r="S20" s="23">
        <v>41950</v>
      </c>
      <c r="T20" s="35" t="s">
        <v>205</v>
      </c>
      <c r="U20" s="26"/>
      <c r="V20" s="26" t="s">
        <v>2739</v>
      </c>
      <c r="W20" s="26">
        <v>9</v>
      </c>
      <c r="X20" s="26"/>
      <c r="Y20" s="26" t="s">
        <v>207</v>
      </c>
      <c r="Z20" s="26">
        <v>86410</v>
      </c>
      <c r="AA20" s="26" t="s">
        <v>208</v>
      </c>
      <c r="AB20" s="26" t="s">
        <v>2866</v>
      </c>
      <c r="AC20" s="23">
        <v>43299</v>
      </c>
      <c r="AD20" s="26">
        <v>110.59</v>
      </c>
      <c r="AE20" s="26">
        <v>115.59</v>
      </c>
      <c r="AG20" s="22" t="str">
        <f t="shared" si="1"/>
        <v>EXECUTE [dbo].[PG_CI_OPERADOR] 0, 0, 0, 350, 'CASAS HERNANDEZ, JUAN GABRIEL' , '',0   , 2 , 3, 2,'JUAN GABRIEL', 'CASAS', 'HERNANDEZ' , 'CAHJ760116P2A', 'CAHJ760116HHGSRN09', '13937504770', '1976-01-16', '2014-11-07','922 1612 334','','JOSE TORRES ALOR','9','','5 DE MAYO LA VENTA','86410','HUIMANGUILLO','TAMP30431','2018-07-18', 110.59,115.59</v>
      </c>
      <c r="AH20" s="11"/>
    </row>
    <row r="21" spans="1:34" s="10" customFormat="1" x14ac:dyDescent="0.25">
      <c r="A21" s="18"/>
      <c r="B21" s="19">
        <v>0</v>
      </c>
      <c r="C21" s="19">
        <v>0</v>
      </c>
      <c r="D21" s="19">
        <v>0</v>
      </c>
      <c r="E21" s="28">
        <v>351</v>
      </c>
      <c r="F21" s="20" t="str">
        <f t="shared" si="0"/>
        <v xml:space="preserve">CASAS HERNANDEZ, REYES </v>
      </c>
      <c r="G21" s="21"/>
      <c r="H21" s="21">
        <v>0</v>
      </c>
      <c r="I21" s="28">
        <v>1</v>
      </c>
      <c r="J21" s="28">
        <v>3</v>
      </c>
      <c r="K21" s="28">
        <v>2</v>
      </c>
      <c r="L21" s="26" t="s">
        <v>2129</v>
      </c>
      <c r="M21" s="26" t="s">
        <v>1741</v>
      </c>
      <c r="N21" s="26" t="s">
        <v>1713</v>
      </c>
      <c r="O21" s="26" t="s">
        <v>2330</v>
      </c>
      <c r="P21" s="26" t="s">
        <v>211</v>
      </c>
      <c r="Q21" s="26">
        <v>13068308553</v>
      </c>
      <c r="R21" s="23">
        <v>30322</v>
      </c>
      <c r="S21" s="23">
        <v>41636</v>
      </c>
      <c r="T21" s="35" t="s">
        <v>212</v>
      </c>
      <c r="U21" s="26"/>
      <c r="V21" s="26" t="s">
        <v>2738</v>
      </c>
      <c r="W21" s="26" t="s">
        <v>2452</v>
      </c>
      <c r="X21" s="26" t="s">
        <v>2453</v>
      </c>
      <c r="Y21" s="26" t="s">
        <v>213</v>
      </c>
      <c r="Z21" s="26">
        <v>42180</v>
      </c>
      <c r="AA21" s="26" t="s">
        <v>199</v>
      </c>
      <c r="AB21" s="26" t="s">
        <v>2867</v>
      </c>
      <c r="AC21" s="23">
        <v>43471</v>
      </c>
      <c r="AD21" s="26">
        <v>110.59</v>
      </c>
      <c r="AE21" s="26">
        <v>115.59</v>
      </c>
      <c r="AG21" s="22" t="str">
        <f t="shared" si="1"/>
        <v>EXECUTE [dbo].[PG_CI_OPERADOR] 0, 0, 0, 351, 'CASAS HERNANDEZ, REYES ' , '',0   , 1 , 3, 2,'REYES ', 'CASAS', 'HERNANDEZ' , 'CAHR830106G31', 'CAHR830106HHGSRY03', '13068308553', '1983-01-06', '2013-12-28','771 791 3101','','SANTA JULIA','MZ-53','LT-3','COL. PROVIDENCIA','42180','MINERAL DE LA REFORMA','VER131153','2019-01-06', 110.59,115.59</v>
      </c>
      <c r="AH21" s="11"/>
    </row>
    <row r="22" spans="1:34" s="10" customFormat="1" x14ac:dyDescent="0.25">
      <c r="A22" s="18"/>
      <c r="B22" s="19">
        <v>0</v>
      </c>
      <c r="C22" s="19">
        <v>0</v>
      </c>
      <c r="D22" s="19">
        <v>0</v>
      </c>
      <c r="E22" s="28">
        <v>352</v>
      </c>
      <c r="F22" s="20" t="str">
        <f t="shared" si="0"/>
        <v>CASTILLO TREVIZO, JULIO CESAR</v>
      </c>
      <c r="G22" s="21"/>
      <c r="H22" s="21">
        <v>0</v>
      </c>
      <c r="I22" s="28">
        <v>2</v>
      </c>
      <c r="J22" s="28">
        <v>0</v>
      </c>
      <c r="K22" s="28">
        <v>2</v>
      </c>
      <c r="L22" s="26" t="s">
        <v>2130</v>
      </c>
      <c r="M22" s="26" t="s">
        <v>1745</v>
      </c>
      <c r="N22" s="26" t="s">
        <v>1746</v>
      </c>
      <c r="O22" s="26" t="s">
        <v>2331</v>
      </c>
      <c r="P22" s="26" t="s">
        <v>216</v>
      </c>
      <c r="Q22" s="26">
        <v>33068797779</v>
      </c>
      <c r="R22" s="23">
        <v>31850</v>
      </c>
      <c r="S22" s="23">
        <v>39419</v>
      </c>
      <c r="T22" s="35"/>
      <c r="U22" s="26"/>
      <c r="V22" s="26" t="s">
        <v>2740</v>
      </c>
      <c r="W22" s="26">
        <v>15516</v>
      </c>
      <c r="X22" s="26"/>
      <c r="Y22" s="26" t="s">
        <v>218</v>
      </c>
      <c r="Z22" s="26">
        <v>31109</v>
      </c>
      <c r="AA22" s="26" t="s">
        <v>118</v>
      </c>
      <c r="AB22" s="26" t="s">
        <v>2859</v>
      </c>
      <c r="AC22" s="23">
        <v>43452</v>
      </c>
      <c r="AD22" s="26">
        <v>117.6</v>
      </c>
      <c r="AE22" s="26">
        <v>122.92</v>
      </c>
      <c r="AG22" s="22" t="str">
        <f t="shared" si="1"/>
        <v>EXECUTE [dbo].[PG_CI_OPERADOR] 0, 0, 0, 352, 'CASTILLO TREVIZO, JULIO CESAR' , '',0   , 2 , 0, 2,'JULIO CESAR', 'CASTILLO', 'TREVIZO' , 'CATJ870314RI6', 'CATJ870314HCHSRL05', '33068797779', '1987-03-14', '2007-12-03','','','PASEO DE LA PRESA','15516','','PASEO DE CHIHUHUA','31109','CHIHUAHUA','','2018-12-18', 117.6,122.92</v>
      </c>
      <c r="AH22" s="11"/>
    </row>
    <row r="23" spans="1:34" s="10" customFormat="1" x14ac:dyDescent="0.25">
      <c r="A23" s="18"/>
      <c r="B23" s="19">
        <v>0</v>
      </c>
      <c r="C23" s="19">
        <v>0</v>
      </c>
      <c r="D23" s="19">
        <v>0</v>
      </c>
      <c r="E23" s="28">
        <v>353</v>
      </c>
      <c r="F23" s="20" t="str">
        <f t="shared" si="0"/>
        <v xml:space="preserve">CAZARES VIVAR, MARCELO </v>
      </c>
      <c r="G23" s="21"/>
      <c r="H23" s="21">
        <v>0</v>
      </c>
      <c r="I23" s="28">
        <v>2</v>
      </c>
      <c r="J23" s="28">
        <v>2</v>
      </c>
      <c r="K23" s="28">
        <v>2</v>
      </c>
      <c r="L23" s="26" t="s">
        <v>2131</v>
      </c>
      <c r="M23" s="26" t="s">
        <v>1749</v>
      </c>
      <c r="N23" s="26" t="s">
        <v>1750</v>
      </c>
      <c r="O23" s="26" t="s">
        <v>2332</v>
      </c>
      <c r="P23" s="26" t="s">
        <v>220</v>
      </c>
      <c r="Q23" s="26">
        <v>42816432316</v>
      </c>
      <c r="R23" s="23">
        <v>23749</v>
      </c>
      <c r="S23" s="23">
        <v>39582</v>
      </c>
      <c r="T23" s="35"/>
      <c r="U23" s="26"/>
      <c r="V23" s="26" t="s">
        <v>2456</v>
      </c>
      <c r="W23" s="26" t="s">
        <v>2457</v>
      </c>
      <c r="X23" s="26" t="s">
        <v>2458</v>
      </c>
      <c r="Y23" s="26" t="s">
        <v>222</v>
      </c>
      <c r="Z23" s="26">
        <v>54180</v>
      </c>
      <c r="AA23" s="26" t="s">
        <v>125</v>
      </c>
      <c r="AB23" s="26" t="s">
        <v>2868</v>
      </c>
      <c r="AC23" s="23">
        <v>43140</v>
      </c>
      <c r="AD23" s="26">
        <v>110.59</v>
      </c>
      <c r="AE23" s="26">
        <v>116.19</v>
      </c>
      <c r="AG23" s="22" t="str">
        <f t="shared" si="1"/>
        <v>EXECUTE [dbo].[PG_CI_OPERADOR] 0, 0, 0, 353, 'CAZARES VIVAR, MARCELO ' , '',0   , 2 , 2, 2,'MARCELO ', 'CAZARES', 'VIVAR' , 'CAVM650107GC8', 'CAVM650107HPLZVR03', '42816432316', '1965-01-07', '2008-05-14','','','BORRASCA','MZ-340','LT-3123','LAZARO CARDENAS','54180','TLALNEPANTLA','DF0011318','2018-02-09', 110.59,116.19</v>
      </c>
      <c r="AH23" s="11"/>
    </row>
    <row r="24" spans="1:34" s="10" customFormat="1" x14ac:dyDescent="0.25">
      <c r="A24" s="18"/>
      <c r="B24" s="19">
        <v>0</v>
      </c>
      <c r="C24" s="19">
        <v>0</v>
      </c>
      <c r="D24" s="19">
        <v>0</v>
      </c>
      <c r="E24" s="28">
        <v>354</v>
      </c>
      <c r="F24" s="20" t="str">
        <f t="shared" si="0"/>
        <v xml:space="preserve">CEDILLO VIOLANTE, JUAN </v>
      </c>
      <c r="G24" s="21"/>
      <c r="H24" s="21">
        <v>0</v>
      </c>
      <c r="I24" s="28">
        <v>1</v>
      </c>
      <c r="J24" s="28">
        <v>2</v>
      </c>
      <c r="K24" s="28">
        <v>2</v>
      </c>
      <c r="L24" s="26" t="s">
        <v>2132</v>
      </c>
      <c r="M24" s="26" t="s">
        <v>1752</v>
      </c>
      <c r="N24" s="26" t="s">
        <v>1753</v>
      </c>
      <c r="O24" s="26" t="s">
        <v>2333</v>
      </c>
      <c r="P24" s="26" t="s">
        <v>226</v>
      </c>
      <c r="Q24" s="26">
        <v>15855903892</v>
      </c>
      <c r="R24" s="23">
        <v>21555</v>
      </c>
      <c r="S24" s="23">
        <v>37734</v>
      </c>
      <c r="T24" s="35"/>
      <c r="U24" s="26"/>
      <c r="V24" s="26" t="s">
        <v>2741</v>
      </c>
      <c r="W24" s="26">
        <v>4</v>
      </c>
      <c r="X24" s="26"/>
      <c r="Y24" s="26" t="s">
        <v>228</v>
      </c>
      <c r="Z24" s="26">
        <v>62747</v>
      </c>
      <c r="AA24" s="26" t="s">
        <v>229</v>
      </c>
      <c r="AB24" s="26" t="s">
        <v>2904</v>
      </c>
      <c r="AC24" s="23">
        <v>43471</v>
      </c>
      <c r="AD24" s="26">
        <v>110.59</v>
      </c>
      <c r="AE24" s="26">
        <v>116.35</v>
      </c>
      <c r="AG24" s="22" t="str">
        <f t="shared" si="1"/>
        <v>EXECUTE [dbo].[PG_CI_OPERADOR] 0, 0, 0, 354, 'CEDILLO VIOLANTE, JUAN ' , '',0   , 1 , 2, 2,'JUAN ', 'CEDILLO', 'VIOLANTE' , 'CEVJ590105UF1', 'CEVJ590105HMSDLN04', '15855903892', '1959-01-05', '2003-04-23','','','5 DE MAYO','4','','IGNACIO ZARAGOZA','62747','CUAUTLA','MOR01308','2019-01-06', 110.59,116.35</v>
      </c>
      <c r="AH24" s="11"/>
    </row>
    <row r="25" spans="1:34" s="10" customFormat="1" x14ac:dyDescent="0.25">
      <c r="A25" s="18"/>
      <c r="B25" s="19">
        <v>0</v>
      </c>
      <c r="C25" s="19">
        <v>0</v>
      </c>
      <c r="D25" s="19">
        <v>0</v>
      </c>
      <c r="E25" s="28">
        <v>355</v>
      </c>
      <c r="F25" s="20" t="str">
        <f t="shared" si="0"/>
        <v xml:space="preserve">CHAVEZ REY, SALVADOR </v>
      </c>
      <c r="G25" s="21"/>
      <c r="H25" s="21">
        <v>0</v>
      </c>
      <c r="I25" s="28">
        <v>1</v>
      </c>
      <c r="J25" s="28">
        <v>2</v>
      </c>
      <c r="K25" s="28">
        <v>2</v>
      </c>
      <c r="L25" s="26" t="s">
        <v>2133</v>
      </c>
      <c r="M25" s="26" t="s">
        <v>1754</v>
      </c>
      <c r="N25" s="26" t="s">
        <v>1755</v>
      </c>
      <c r="O25" s="26" t="s">
        <v>2334</v>
      </c>
      <c r="P25" s="26" t="s">
        <v>233</v>
      </c>
      <c r="Q25" s="26">
        <v>33816399233</v>
      </c>
      <c r="R25" s="23">
        <v>23807</v>
      </c>
      <c r="S25" s="23">
        <v>36578</v>
      </c>
      <c r="T25" s="35"/>
      <c r="U25" s="26"/>
      <c r="V25" s="26" t="s">
        <v>2742</v>
      </c>
      <c r="W25" s="26">
        <v>9524</v>
      </c>
      <c r="X25" s="26"/>
      <c r="Y25" s="26" t="s">
        <v>235</v>
      </c>
      <c r="Z25" s="26">
        <v>33820</v>
      </c>
      <c r="AA25" s="26" t="s">
        <v>117</v>
      </c>
      <c r="AB25" s="26" t="s">
        <v>2859</v>
      </c>
      <c r="AC25" s="23">
        <v>42684</v>
      </c>
      <c r="AD25" s="26">
        <v>110.59</v>
      </c>
      <c r="AE25" s="26">
        <v>116.5</v>
      </c>
      <c r="AG25" s="22" t="str">
        <f t="shared" si="1"/>
        <v>EXECUTE [dbo].[PG_CI_OPERADOR] 0, 0, 0, 355, 'CHAVEZ REY, SALVADOR ' , '',0   , 1 , 2, 2,'SALVADOR ', 'CHAVEZ', 'REY' , 'CARS650306', 'CARS650603HCHHYL09', '33816399233', '1965-03-06', '2000-02-22','','','ALEJANDRO RAMIREZ','9524','','NUEVO INFONAVIT JUAREZ','33820','CD. JUAREZ','','2016-11-10', 110.59,116.5</v>
      </c>
      <c r="AH25" s="11"/>
    </row>
    <row r="26" spans="1:34" s="10" customFormat="1" x14ac:dyDescent="0.25">
      <c r="A26" s="18"/>
      <c r="B26" s="19">
        <v>0</v>
      </c>
      <c r="C26" s="19">
        <v>0</v>
      </c>
      <c r="D26" s="19">
        <v>0</v>
      </c>
      <c r="E26" s="28">
        <v>356</v>
      </c>
      <c r="F26" s="20" t="str">
        <f t="shared" si="0"/>
        <v xml:space="preserve">CHAVEZ ROBLES, RICARDO </v>
      </c>
      <c r="G26" s="21"/>
      <c r="H26" s="21">
        <v>0</v>
      </c>
      <c r="I26" s="28">
        <v>1</v>
      </c>
      <c r="J26" s="28">
        <v>0</v>
      </c>
      <c r="K26" s="28">
        <v>2</v>
      </c>
      <c r="L26" s="26" t="s">
        <v>2134</v>
      </c>
      <c r="M26" s="26" t="s">
        <v>1754</v>
      </c>
      <c r="N26" s="26" t="s">
        <v>1757</v>
      </c>
      <c r="O26" s="26" t="s">
        <v>2335</v>
      </c>
      <c r="P26" s="26" t="s">
        <v>237</v>
      </c>
      <c r="Q26" s="26">
        <v>94907011525</v>
      </c>
      <c r="R26" s="23">
        <v>25807</v>
      </c>
      <c r="S26" s="23">
        <v>38951</v>
      </c>
      <c r="T26" s="35"/>
      <c r="U26" s="26"/>
      <c r="V26" s="26" t="s">
        <v>2743</v>
      </c>
      <c r="W26" s="26" t="s">
        <v>2462</v>
      </c>
      <c r="X26" s="26" t="s">
        <v>2463</v>
      </c>
      <c r="Y26" s="26" t="s">
        <v>239</v>
      </c>
      <c r="Z26" s="26">
        <v>55234</v>
      </c>
      <c r="AA26" s="26" t="s">
        <v>240</v>
      </c>
      <c r="AB26" s="26" t="s">
        <v>2869</v>
      </c>
      <c r="AC26" s="23">
        <v>43471</v>
      </c>
      <c r="AD26" s="26">
        <v>110.59</v>
      </c>
      <c r="AE26" s="26">
        <v>116.35</v>
      </c>
      <c r="AG26" s="22" t="str">
        <f t="shared" si="1"/>
        <v>EXECUTE [dbo].[PG_CI_OPERADOR] 0, 0, 0, 356, 'CHAVEZ ROBLES, RICARDO ' , '',0   , 1 , 0, 2,'RICARDO ', 'CHAVEZ', 'ROBLES' , 'CARR700827KF8', 'CARR700827HDFHBC05', '94907011525', '1970-08-27', '2006-08-22','','','GLORIETA DE ETIOPIA','MZ-556','LT-24','LA GLORIETA','55234','ECATEPEC DE MORELOS','DF0021465','2019-01-06', 110.59,116.35</v>
      </c>
      <c r="AH26" s="11"/>
    </row>
    <row r="27" spans="1:34" s="10" customFormat="1" x14ac:dyDescent="0.25">
      <c r="A27" s="18"/>
      <c r="B27" s="19">
        <v>0</v>
      </c>
      <c r="C27" s="19">
        <v>0</v>
      </c>
      <c r="D27" s="19">
        <v>0</v>
      </c>
      <c r="E27" s="28">
        <v>357</v>
      </c>
      <c r="F27" s="20" t="str">
        <f t="shared" si="0"/>
        <v>COTA LERMA, RAMON ARTURO</v>
      </c>
      <c r="G27" s="21"/>
      <c r="H27" s="21">
        <v>0</v>
      </c>
      <c r="I27" s="28">
        <v>1</v>
      </c>
      <c r="J27" s="28">
        <v>2</v>
      </c>
      <c r="K27" s="28">
        <v>2</v>
      </c>
      <c r="L27" s="26" t="s">
        <v>2135</v>
      </c>
      <c r="M27" s="26" t="s">
        <v>1759</v>
      </c>
      <c r="N27" s="26" t="s">
        <v>1760</v>
      </c>
      <c r="O27" s="26" t="s">
        <v>2336</v>
      </c>
      <c r="P27" s="26" t="s">
        <v>243</v>
      </c>
      <c r="Q27" s="26">
        <v>24935804807</v>
      </c>
      <c r="R27" s="23">
        <v>21199</v>
      </c>
      <c r="S27" s="23">
        <v>40767</v>
      </c>
      <c r="T27" s="35"/>
      <c r="U27" s="26"/>
      <c r="V27" s="26" t="s">
        <v>2744</v>
      </c>
      <c r="W27" s="26">
        <v>6196</v>
      </c>
      <c r="X27" s="26">
        <v>16</v>
      </c>
      <c r="Y27" s="26" t="s">
        <v>245</v>
      </c>
      <c r="Z27" s="26">
        <v>22194</v>
      </c>
      <c r="AA27" s="26" t="s">
        <v>180</v>
      </c>
      <c r="AB27" s="26" t="s">
        <v>2870</v>
      </c>
      <c r="AC27" s="23">
        <v>41045</v>
      </c>
      <c r="AD27" s="26">
        <v>110.59</v>
      </c>
      <c r="AE27" s="26">
        <v>116.19</v>
      </c>
      <c r="AG27" s="22" t="str">
        <f t="shared" si="1"/>
        <v>EXECUTE [dbo].[PG_CI_OPERADOR] 0, 0, 0, 357, 'COTA LERMA, RAMON ARTURO' , '',0   , 1 , 2, 2,'RAMON ARTURO', 'COTA', 'LERMA' , 'COLR580114245', 'COLR580114HSRTRM07', '24935804807', '1958-01-14', '2011-08-12','','','PRIVADA RUISEÑORES','6196','16','JARDINES DE AGUA CALIENTE','22194','TIJUANA','SON000589','2012-05-16', 110.59,116.19</v>
      </c>
      <c r="AH27" s="11"/>
    </row>
    <row r="28" spans="1:34" s="10" customFormat="1" x14ac:dyDescent="0.25">
      <c r="A28" s="18"/>
      <c r="B28" s="19">
        <v>0</v>
      </c>
      <c r="C28" s="19">
        <v>0</v>
      </c>
      <c r="D28" s="19">
        <v>0</v>
      </c>
      <c r="E28" s="28">
        <v>358</v>
      </c>
      <c r="F28" s="20" t="str">
        <f t="shared" si="0"/>
        <v xml:space="preserve">CRUZ MIRELES, MAURICIO </v>
      </c>
      <c r="G28" s="21"/>
      <c r="H28" s="21">
        <v>0</v>
      </c>
      <c r="I28" s="28">
        <v>2</v>
      </c>
      <c r="J28" s="28">
        <v>2</v>
      </c>
      <c r="K28" s="28">
        <v>2</v>
      </c>
      <c r="L28" s="26" t="s">
        <v>2136</v>
      </c>
      <c r="M28" s="26" t="s">
        <v>1699</v>
      </c>
      <c r="N28" s="26" t="s">
        <v>1763</v>
      </c>
      <c r="O28" s="26" t="s">
        <v>2337</v>
      </c>
      <c r="P28" s="26" t="s">
        <v>248</v>
      </c>
      <c r="Q28" s="26">
        <v>96937200077</v>
      </c>
      <c r="R28" s="23">
        <v>27081</v>
      </c>
      <c r="S28" s="23">
        <v>42244</v>
      </c>
      <c r="T28" s="35">
        <v>5539572879</v>
      </c>
      <c r="U28" s="26"/>
      <c r="V28" s="26" t="s">
        <v>2745</v>
      </c>
      <c r="W28" s="26" t="s">
        <v>2746</v>
      </c>
      <c r="X28" s="26" t="s">
        <v>2499</v>
      </c>
      <c r="Y28" s="26" t="s">
        <v>250</v>
      </c>
      <c r="Z28" s="26">
        <v>56500</v>
      </c>
      <c r="AA28" s="26" t="s">
        <v>251</v>
      </c>
      <c r="AB28" s="26" t="s">
        <v>2859</v>
      </c>
      <c r="AC28" s="23">
        <v>43140</v>
      </c>
      <c r="AD28" s="26">
        <v>110.59</v>
      </c>
      <c r="AE28" s="26">
        <v>156.46</v>
      </c>
      <c r="AG28" s="22" t="str">
        <f t="shared" si="1"/>
        <v>EXECUTE [dbo].[PG_CI_OPERADOR] 0, 0, 0, 358, 'CRUZ MIRELES, MAURICIO ' , '',0   , 2 , 2, 2,'MAURICIO ', 'CRUZ', 'MIRELES' , 'CUMM7402219KA', 'CUMM740221HDFRRR01', '96937200077', '1974-02-21', '2015-08-28','5539572879','','HERIBERTO JARA','MZA-5','LT-2','AMPLIACION TECAMACHALCO','56500','LOS REYES, LA PAZ','','2018-02-09', 110.59,156.46</v>
      </c>
      <c r="AH28" s="11"/>
    </row>
    <row r="29" spans="1:34" s="10" customFormat="1" x14ac:dyDescent="0.25">
      <c r="A29" s="18"/>
      <c r="B29" s="19">
        <v>0</v>
      </c>
      <c r="C29" s="19">
        <v>0</v>
      </c>
      <c r="D29" s="19">
        <v>0</v>
      </c>
      <c r="E29" s="28">
        <v>359</v>
      </c>
      <c r="F29" s="20" t="str">
        <f t="shared" si="0"/>
        <v>DIAZ MARTINEZ, JUAN ALEJANDRO</v>
      </c>
      <c r="G29" s="21"/>
      <c r="H29" s="21">
        <v>0</v>
      </c>
      <c r="I29" s="28">
        <v>1</v>
      </c>
      <c r="J29" s="28">
        <v>0</v>
      </c>
      <c r="K29" s="28">
        <v>2</v>
      </c>
      <c r="L29" s="26" t="s">
        <v>2137</v>
      </c>
      <c r="M29" s="26" t="s">
        <v>1739</v>
      </c>
      <c r="N29" s="26" t="s">
        <v>1765</v>
      </c>
      <c r="O29" s="26" t="s">
        <v>2338</v>
      </c>
      <c r="P29" s="26" t="s">
        <v>253</v>
      </c>
      <c r="Q29" s="26">
        <v>33826633233</v>
      </c>
      <c r="R29" s="23">
        <v>24221</v>
      </c>
      <c r="S29" s="23">
        <v>37861</v>
      </c>
      <c r="T29" s="35"/>
      <c r="U29" s="26"/>
      <c r="V29" s="26" t="s">
        <v>2747</v>
      </c>
      <c r="W29" s="26">
        <v>7630</v>
      </c>
      <c r="X29" s="26"/>
      <c r="Y29" s="26" t="s">
        <v>255</v>
      </c>
      <c r="Z29" s="26">
        <v>32328</v>
      </c>
      <c r="AA29" s="26" t="s">
        <v>117</v>
      </c>
      <c r="AB29" s="26" t="s">
        <v>2859</v>
      </c>
      <c r="AC29" s="23">
        <v>42684</v>
      </c>
      <c r="AD29" s="26">
        <v>110.59</v>
      </c>
      <c r="AE29" s="26">
        <v>116.35</v>
      </c>
      <c r="AG29" s="22" t="str">
        <f t="shared" si="1"/>
        <v>EXECUTE [dbo].[PG_CI_OPERADOR] 0, 0, 0, 359, 'DIAZ MARTINEZ, JUAN ALEJANDRO' , '',0   , 1 , 0, 2,'JUAN ALEJANDRO', 'DIAZ', 'MARTINEZ' , 'DIMJ660424DG5', 'DIMJ660424HCHZRN08', '33826633233', '1966-04-24', '2003-08-28','','','PRIVADA DE ITUGARRAY','7630','','VIRREYES','32328','CD. JUAREZ','','2016-11-10', 110.59,116.35</v>
      </c>
      <c r="AH29" s="11"/>
    </row>
    <row r="30" spans="1:34" s="10" customFormat="1" x14ac:dyDescent="0.25">
      <c r="A30" s="18"/>
      <c r="B30" s="19">
        <v>0</v>
      </c>
      <c r="C30" s="19">
        <v>0</v>
      </c>
      <c r="D30" s="19">
        <v>0</v>
      </c>
      <c r="E30" s="28">
        <v>361</v>
      </c>
      <c r="F30" s="20" t="str">
        <f t="shared" si="0"/>
        <v>ESPINOZA GONZALEZ, JOSE GONZALO</v>
      </c>
      <c r="G30" s="21"/>
      <c r="H30" s="21">
        <v>0</v>
      </c>
      <c r="I30" s="28">
        <v>1</v>
      </c>
      <c r="J30" s="28">
        <v>0</v>
      </c>
      <c r="K30" s="28">
        <v>2</v>
      </c>
      <c r="L30" s="26" t="s">
        <v>2138</v>
      </c>
      <c r="M30" s="26" t="s">
        <v>1766</v>
      </c>
      <c r="N30" s="26" t="s">
        <v>1767</v>
      </c>
      <c r="O30" s="26" t="s">
        <v>2339</v>
      </c>
      <c r="P30" s="26" t="s">
        <v>257</v>
      </c>
      <c r="Q30" s="26">
        <v>62745502153</v>
      </c>
      <c r="R30" s="23">
        <v>20341</v>
      </c>
      <c r="S30" s="23">
        <v>38790</v>
      </c>
      <c r="T30" s="35"/>
      <c r="U30" s="26"/>
      <c r="V30" s="26" t="s">
        <v>2748</v>
      </c>
      <c r="W30" s="26">
        <v>2164</v>
      </c>
      <c r="X30" s="26"/>
      <c r="Y30" s="26" t="s">
        <v>260</v>
      </c>
      <c r="Z30" s="26">
        <v>72104</v>
      </c>
      <c r="AA30" s="26" t="s">
        <v>145</v>
      </c>
      <c r="AB30" s="26" t="s">
        <v>2859</v>
      </c>
      <c r="AC30" s="23">
        <v>43140</v>
      </c>
      <c r="AD30" s="26">
        <v>110.59</v>
      </c>
      <c r="AE30" s="26">
        <v>116.35</v>
      </c>
      <c r="AG30" s="22" t="str">
        <f t="shared" si="1"/>
        <v>EXECUTE [dbo].[PG_CI_OPERADOR] 0, 0, 0, 361, 'ESPINOZA GONZALEZ, JOSE GONZALO' , '',0   , 1 , 0, 2,'JOSE GONZALO', 'ESPINOZA', 'GONZALEZ' , 'EIGG550909', 'EIGG550909HPLSNN01', '62745502153', '1955-09-09', '2006-03-14','','','CTO. OBREROS INDEPENDIENTES SUR','2164','','U. HAB. VOLKSWAGEN SUR','72104','PUEBLA','','2018-02-09', 110.59,116.35</v>
      </c>
      <c r="AH30" s="11"/>
    </row>
    <row r="31" spans="1:34" s="10" customFormat="1" x14ac:dyDescent="0.25">
      <c r="A31" s="18"/>
      <c r="B31" s="19">
        <v>0</v>
      </c>
      <c r="C31" s="19">
        <v>0</v>
      </c>
      <c r="D31" s="19">
        <v>0</v>
      </c>
      <c r="E31" s="28">
        <v>362</v>
      </c>
      <c r="F31" s="20" t="str">
        <f t="shared" si="0"/>
        <v>GALVAN NAVARRO, FELIX PATRICIO</v>
      </c>
      <c r="G31" s="21"/>
      <c r="H31" s="21">
        <v>0</v>
      </c>
      <c r="I31" s="28">
        <v>1</v>
      </c>
      <c r="J31" s="28">
        <v>0</v>
      </c>
      <c r="K31" s="28">
        <v>2</v>
      </c>
      <c r="L31" s="26" t="s">
        <v>2139</v>
      </c>
      <c r="M31" s="26" t="s">
        <v>1769</v>
      </c>
      <c r="N31" s="26" t="s">
        <v>1770</v>
      </c>
      <c r="O31" s="26" t="s">
        <v>262</v>
      </c>
      <c r="P31" s="26" t="s">
        <v>263</v>
      </c>
      <c r="Q31" s="26">
        <v>56967503428</v>
      </c>
      <c r="R31" s="23">
        <v>28553</v>
      </c>
      <c r="S31" s="23">
        <v>39024</v>
      </c>
      <c r="T31" s="35"/>
      <c r="U31" s="26"/>
      <c r="V31" s="26" t="s">
        <v>2749</v>
      </c>
      <c r="W31" s="26">
        <v>102</v>
      </c>
      <c r="X31" s="26"/>
      <c r="Y31" s="26" t="s">
        <v>265</v>
      </c>
      <c r="Z31" s="26">
        <v>47295</v>
      </c>
      <c r="AA31" s="26" t="s">
        <v>266</v>
      </c>
      <c r="AB31" s="26" t="s">
        <v>2859</v>
      </c>
      <c r="AC31" s="23">
        <v>43140</v>
      </c>
      <c r="AD31" s="26">
        <v>110.59</v>
      </c>
      <c r="AE31" s="26">
        <v>116.19</v>
      </c>
      <c r="AG31" s="22" t="str">
        <f t="shared" si="1"/>
        <v>EXECUTE [dbo].[PG_CI_OPERADOR] 0, 0, 0, 362, 'GALVAN NAVARRO, FELIX PATRICIO' , '',0   , 1 , 0, 2,'FELIX PATRICIO', 'GALVAN', 'NAVARRO' , 'GANF7803044Z3', 'GANF780304HJCLVL01', '56967503428', '1978-03-04', '2006-11-03','','','PRIVADA ISABEL LA CATOLICA','102','','CENTRO','47295','ENCARNACION DE DIAZ','','2018-02-09', 110.59,116.19</v>
      </c>
      <c r="AH31" s="11"/>
    </row>
    <row r="32" spans="1:34" s="10" customFormat="1" x14ac:dyDescent="0.25">
      <c r="A32" s="18"/>
      <c r="B32" s="19">
        <v>0</v>
      </c>
      <c r="C32" s="19">
        <v>0</v>
      </c>
      <c r="D32" s="19">
        <v>0</v>
      </c>
      <c r="E32" s="28">
        <v>363</v>
      </c>
      <c r="F32" s="20" t="str">
        <f t="shared" si="0"/>
        <v xml:space="preserve">GARCIA CASAS, MARTIN </v>
      </c>
      <c r="G32" s="21"/>
      <c r="H32" s="21">
        <v>0</v>
      </c>
      <c r="I32" s="28">
        <v>1</v>
      </c>
      <c r="J32" s="28">
        <v>2</v>
      </c>
      <c r="K32" s="28">
        <v>2</v>
      </c>
      <c r="L32" s="26" t="s">
        <v>2140</v>
      </c>
      <c r="M32" s="26" t="s">
        <v>1773</v>
      </c>
      <c r="N32" s="26" t="s">
        <v>1741</v>
      </c>
      <c r="O32" s="26" t="s">
        <v>2340</v>
      </c>
      <c r="P32" s="26" t="s">
        <v>268</v>
      </c>
      <c r="Q32" s="26">
        <v>65866807137</v>
      </c>
      <c r="R32" s="23">
        <v>24822</v>
      </c>
      <c r="S32" s="23">
        <v>42314</v>
      </c>
      <c r="T32" s="35">
        <v>2871114055</v>
      </c>
      <c r="U32" s="26"/>
      <c r="V32" s="26" t="s">
        <v>2468</v>
      </c>
      <c r="W32" s="26" t="s">
        <v>2751</v>
      </c>
      <c r="X32" s="26" t="s">
        <v>2750</v>
      </c>
      <c r="Y32" s="26" t="s">
        <v>270</v>
      </c>
      <c r="Z32" s="26">
        <v>68375</v>
      </c>
      <c r="AA32" s="26" t="s">
        <v>271</v>
      </c>
      <c r="AB32" s="26" t="s">
        <v>2859</v>
      </c>
      <c r="AC32" s="23">
        <v>43140</v>
      </c>
      <c r="AD32" s="26">
        <v>110.59</v>
      </c>
      <c r="AE32" s="26">
        <v>115.59</v>
      </c>
      <c r="AG32" s="22" t="str">
        <f t="shared" si="1"/>
        <v>EXECUTE [dbo].[PG_CI_OPERADOR] 0, 0, 0, 363, 'GARCIA CASAS, MARTIN ' , '',0   , 1 , 2, 2,'MARTIN ', 'GARCIA', 'CASAS' , 'GACM671216HP5', 'GACM671216HVZRSR01', '65866807137', '1967-12-16', '2015-11-06','2871114055','','GIRASOLES','MZ-5','LT-13','SAN JUAN BAUTISTA TUXTEPEC','68375','OAXACA','','2018-02-09', 110.59,115.59</v>
      </c>
      <c r="AH32" s="11"/>
    </row>
    <row r="33" spans="1:34" s="10" customFormat="1" x14ac:dyDescent="0.25">
      <c r="A33" s="18"/>
      <c r="B33" s="19">
        <v>0</v>
      </c>
      <c r="C33" s="19">
        <v>0</v>
      </c>
      <c r="D33" s="19">
        <v>0</v>
      </c>
      <c r="E33" s="28">
        <v>364</v>
      </c>
      <c r="F33" s="20" t="str">
        <f t="shared" si="0"/>
        <v>GARCIA FAVELA, RICARDO ALEJANDRO</v>
      </c>
      <c r="G33" s="21"/>
      <c r="H33" s="21">
        <v>0</v>
      </c>
      <c r="I33" s="28">
        <v>1</v>
      </c>
      <c r="J33" s="28">
        <v>0</v>
      </c>
      <c r="K33" s="28">
        <v>2</v>
      </c>
      <c r="L33" s="26" t="s">
        <v>2141</v>
      </c>
      <c r="M33" s="26" t="s">
        <v>1773</v>
      </c>
      <c r="N33" s="26" t="s">
        <v>1775</v>
      </c>
      <c r="O33" s="26" t="s">
        <v>273</v>
      </c>
      <c r="P33" s="26" t="s">
        <v>274</v>
      </c>
      <c r="Q33" s="26">
        <v>33947660628</v>
      </c>
      <c r="R33" s="23">
        <v>27999</v>
      </c>
      <c r="S33" s="23">
        <v>42193</v>
      </c>
      <c r="T33" s="35"/>
      <c r="U33" s="26"/>
      <c r="V33" s="26" t="s">
        <v>2753</v>
      </c>
      <c r="W33" s="26">
        <v>8836</v>
      </c>
      <c r="X33" s="26"/>
      <c r="Y33" s="26" t="s">
        <v>276</v>
      </c>
      <c r="Z33" s="26">
        <v>32696</v>
      </c>
      <c r="AA33" s="26" t="s">
        <v>277</v>
      </c>
      <c r="AB33" s="26" t="s">
        <v>2859</v>
      </c>
      <c r="AC33" s="23">
        <v>43140</v>
      </c>
      <c r="AD33" s="26">
        <v>110.59</v>
      </c>
      <c r="AE33" s="26">
        <v>115.59</v>
      </c>
      <c r="AG33" s="22" t="str">
        <f t="shared" si="1"/>
        <v>EXECUTE [dbo].[PG_CI_OPERADOR] 0, 0, 0, 364, 'GARCIA FAVELA, RICARDO ALEJANDRO' , '',0   , 1 , 0, 2,'RICARDO ALEJANDRO', 'GARCIA', 'FAVELA' , 'GAFR760903AA1', 'GAFR760903HCLRVC00', '33947660628', '1976-08-27', '2015-07-08','','','FRANCISCO DE ZURBARAN','8836','','PARAJES DEL SOL','32696','JUAREZ','','2018-02-09', 110.59,115.59</v>
      </c>
      <c r="AH33" s="11"/>
    </row>
    <row r="34" spans="1:34" s="10" customFormat="1" x14ac:dyDescent="0.25">
      <c r="A34" s="18"/>
      <c r="B34" s="19">
        <v>0</v>
      </c>
      <c r="C34" s="19">
        <v>0</v>
      </c>
      <c r="D34" s="19">
        <v>0</v>
      </c>
      <c r="E34" s="28">
        <v>365</v>
      </c>
      <c r="F34" s="20" t="str">
        <f t="shared" si="0"/>
        <v xml:space="preserve">GARCIA ROBLES, RODRIGO </v>
      </c>
      <c r="G34" s="21"/>
      <c r="H34" s="21">
        <v>0</v>
      </c>
      <c r="I34" s="28">
        <v>1</v>
      </c>
      <c r="J34" s="28">
        <v>2</v>
      </c>
      <c r="K34" s="28">
        <v>2</v>
      </c>
      <c r="L34" s="26" t="s">
        <v>2142</v>
      </c>
      <c r="M34" s="26" t="s">
        <v>1773</v>
      </c>
      <c r="N34" s="26" t="s">
        <v>1757</v>
      </c>
      <c r="O34" s="26" t="s">
        <v>2341</v>
      </c>
      <c r="P34" s="26" t="s">
        <v>279</v>
      </c>
      <c r="Q34" s="26">
        <v>21099064871</v>
      </c>
      <c r="R34" s="23">
        <v>33092</v>
      </c>
      <c r="S34" s="23">
        <v>40932</v>
      </c>
      <c r="T34" s="35" t="s">
        <v>280</v>
      </c>
      <c r="U34" s="26"/>
      <c r="V34" s="26" t="s">
        <v>2754</v>
      </c>
      <c r="W34" s="26">
        <v>10</v>
      </c>
      <c r="X34" s="26"/>
      <c r="Y34" s="26" t="s">
        <v>282</v>
      </c>
      <c r="Z34" s="26">
        <v>22101</v>
      </c>
      <c r="AA34" s="26" t="s">
        <v>180</v>
      </c>
      <c r="AB34" s="26" t="s">
        <v>2871</v>
      </c>
      <c r="AC34" s="23">
        <v>41978</v>
      </c>
      <c r="AD34" s="26">
        <v>110.59</v>
      </c>
      <c r="AE34" s="26">
        <v>116.04</v>
      </c>
      <c r="AG34" s="22" t="str">
        <f t="shared" si="1"/>
        <v>EXECUTE [dbo].[PG_CI_OPERADOR] 0, 0, 0, 365, 'GARCIA ROBLES, RODRIGO ' , '',0   , 1 , 2, 2,'RODRIGO ', 'GARCIA', 'ROBLES' , 'GARR900807', 'GARR900807HBCRBD09', '21099064871', '1990-08-07', '2012-01-24','01664 3875 886','','PRIVADA PIEDRAS NEGRAS','10','','RESIDENCIAL EL DORADO','22101','TIJUANA','BCS000434','2014-12-05', 110.59,116.04</v>
      </c>
      <c r="AH34" s="11"/>
    </row>
    <row r="35" spans="1:34" s="10" customFormat="1" x14ac:dyDescent="0.25">
      <c r="A35" s="18"/>
      <c r="B35" s="19">
        <v>0</v>
      </c>
      <c r="C35" s="19">
        <v>0</v>
      </c>
      <c r="D35" s="19">
        <v>0</v>
      </c>
      <c r="E35" s="28">
        <v>366</v>
      </c>
      <c r="F35" s="20" t="str">
        <f t="shared" si="0"/>
        <v xml:space="preserve">GOMEZ OROZCO, RAYMUNDO </v>
      </c>
      <c r="G35" s="21"/>
      <c r="H35" s="21">
        <v>0</v>
      </c>
      <c r="I35" s="28">
        <v>1</v>
      </c>
      <c r="J35" s="28">
        <v>2</v>
      </c>
      <c r="K35" s="28">
        <v>2</v>
      </c>
      <c r="L35" s="26" t="s">
        <v>2143</v>
      </c>
      <c r="M35" s="26" t="s">
        <v>1777</v>
      </c>
      <c r="N35" s="26" t="s">
        <v>1778</v>
      </c>
      <c r="O35" s="26" t="s">
        <v>2342</v>
      </c>
      <c r="P35" s="26" t="s">
        <v>285</v>
      </c>
      <c r="Q35" s="26">
        <v>24856814934</v>
      </c>
      <c r="R35" s="23">
        <v>24874</v>
      </c>
      <c r="S35" s="23">
        <v>41964</v>
      </c>
      <c r="T35" s="35" t="s">
        <v>286</v>
      </c>
      <c r="U35" s="26"/>
      <c r="V35" s="26" t="s">
        <v>2755</v>
      </c>
      <c r="W35" s="26">
        <v>544</v>
      </c>
      <c r="X35" s="26"/>
      <c r="Y35" s="26" t="s">
        <v>288</v>
      </c>
      <c r="Z35" s="26">
        <v>85199</v>
      </c>
      <c r="AA35" s="26" t="s">
        <v>289</v>
      </c>
      <c r="AB35" s="26" t="s">
        <v>2872</v>
      </c>
      <c r="AC35" s="23">
        <v>42587</v>
      </c>
      <c r="AD35" s="26">
        <v>167.65</v>
      </c>
      <c r="AE35" s="26">
        <v>175.23</v>
      </c>
      <c r="AG35" s="22" t="str">
        <f t="shared" si="1"/>
        <v>EXECUTE [dbo].[PG_CI_OPERADOR] 0, 0, 0, 366, 'GOMEZ OROZCO, RAYMUNDO ' , '',0   , 1 , 2, 2,'RAYMUNDO ', 'GOMEZ', 'OROZCO' , 'GOOR680206QHA', 'GOOR680206HJCMRY05', '24856814934', '1968-02-06', '2014-11-21','644 111 7905','','RAMON GUZMAN','544','','LUIS ECHEVERRIA','85199','CAJEME','SIN100582','2016-08-05', 167.65,175.23</v>
      </c>
      <c r="AH35" s="11"/>
    </row>
    <row r="36" spans="1:34" s="10" customFormat="1" x14ac:dyDescent="0.25">
      <c r="A36" s="18"/>
      <c r="B36" s="19">
        <v>0</v>
      </c>
      <c r="C36" s="19">
        <v>0</v>
      </c>
      <c r="D36" s="19">
        <v>0</v>
      </c>
      <c r="E36" s="28">
        <v>367</v>
      </c>
      <c r="F36" s="20" t="str">
        <f t="shared" si="0"/>
        <v xml:space="preserve">GONZALEZ CHAVEZ, ISIDRO </v>
      </c>
      <c r="G36" s="21"/>
      <c r="H36" s="21">
        <v>0</v>
      </c>
      <c r="I36" s="28">
        <v>1</v>
      </c>
      <c r="J36" s="28">
        <v>0</v>
      </c>
      <c r="K36" s="28">
        <v>2</v>
      </c>
      <c r="L36" s="26" t="s">
        <v>2144</v>
      </c>
      <c r="M36" s="26" t="s">
        <v>1767</v>
      </c>
      <c r="N36" s="26" t="s">
        <v>1754</v>
      </c>
      <c r="O36" s="26" t="s">
        <v>2343</v>
      </c>
      <c r="P36" s="26" t="s">
        <v>292</v>
      </c>
      <c r="Q36" s="26">
        <v>33867107360</v>
      </c>
      <c r="R36" s="23">
        <v>26068</v>
      </c>
      <c r="S36" s="23">
        <v>38397</v>
      </c>
      <c r="T36" s="35"/>
      <c r="U36" s="26"/>
      <c r="V36" s="26" t="s">
        <v>2756</v>
      </c>
      <c r="W36" s="26">
        <v>219</v>
      </c>
      <c r="X36" s="26"/>
      <c r="Y36" s="26" t="s">
        <v>294</v>
      </c>
      <c r="Z36" s="26">
        <v>32700</v>
      </c>
      <c r="AA36" s="26" t="s">
        <v>117</v>
      </c>
      <c r="AB36" s="26" t="s">
        <v>2859</v>
      </c>
      <c r="AC36" s="23">
        <v>43140</v>
      </c>
      <c r="AD36" s="26">
        <v>199.02</v>
      </c>
      <c r="AE36" s="26">
        <v>209.11</v>
      </c>
      <c r="AG36" s="22" t="str">
        <f t="shared" si="1"/>
        <v>EXECUTE [dbo].[PG_CI_OPERADOR] 0, 0, 0, 367, 'GONZALEZ CHAVEZ, ISIDRO ' , '',0   , 1 , 0, 2,'ISIDRO ', 'GONZALEZ', 'CHAVEZ' , 'GOCI710515L70', 'GOCI710515HCHNHS02', '33867107360', '1971-05-15', '2005-02-14','','','PATEOSINIO ESPINO','219','','KILOMETRO 20','32700','CD. JUAREZ','','2018-02-09', 199.02,209.11</v>
      </c>
      <c r="AH36" s="11"/>
    </row>
    <row r="37" spans="1:34" s="10" customFormat="1" x14ac:dyDescent="0.25">
      <c r="A37" s="18"/>
      <c r="B37" s="19">
        <v>0</v>
      </c>
      <c r="C37" s="19">
        <v>0</v>
      </c>
      <c r="D37" s="19">
        <v>0</v>
      </c>
      <c r="E37" s="28">
        <v>368</v>
      </c>
      <c r="F37" s="20" t="str">
        <f t="shared" si="0"/>
        <v xml:space="preserve">GUERRERO OCHOA, VICTOR </v>
      </c>
      <c r="G37" s="21"/>
      <c r="H37" s="21">
        <v>0</v>
      </c>
      <c r="I37" s="28">
        <v>1</v>
      </c>
      <c r="J37" s="28">
        <v>0</v>
      </c>
      <c r="K37" s="28">
        <v>2</v>
      </c>
      <c r="L37" s="26" t="s">
        <v>2145</v>
      </c>
      <c r="M37" s="26" t="s">
        <v>193</v>
      </c>
      <c r="N37" s="26" t="s">
        <v>1781</v>
      </c>
      <c r="O37" s="26" t="s">
        <v>2344</v>
      </c>
      <c r="P37" s="26" t="s">
        <v>296</v>
      </c>
      <c r="Q37" s="26">
        <v>15836608503</v>
      </c>
      <c r="R37" s="23">
        <v>24464</v>
      </c>
      <c r="S37" s="23">
        <v>37803</v>
      </c>
      <c r="T37" s="35"/>
      <c r="U37" s="26"/>
      <c r="V37" s="26" t="s">
        <v>1322</v>
      </c>
      <c r="W37" s="26" t="s">
        <v>13</v>
      </c>
      <c r="X37" s="26"/>
      <c r="Y37" s="26" t="s">
        <v>298</v>
      </c>
      <c r="Z37" s="26">
        <v>62730</v>
      </c>
      <c r="AA37" s="26" t="s">
        <v>299</v>
      </c>
      <c r="AB37" s="26" t="s">
        <v>2873</v>
      </c>
      <c r="AC37" s="23">
        <v>43471</v>
      </c>
      <c r="AD37" s="26">
        <v>110.59</v>
      </c>
      <c r="AE37" s="26">
        <v>116.35</v>
      </c>
      <c r="AG37" s="22" t="str">
        <f t="shared" si="1"/>
        <v>EXECUTE [dbo].[PG_CI_OPERADOR] 0, 0, 0, 368, 'GUERRERO OCHOA, VICTOR ' , '',0   , 1 , 0, 2,'VICTOR ', 'GUERRERO', 'OCHOA' , 'GUOV661223DW7', 'GUOV661223HMSRCC04', '15836608503', '1966-12-23', '2003-07-01','','','EMILIANO ZAPATA','S/N','','TETILLAS','62730','YAUTEPEC','MOR000512','2019-01-06', 110.59,116.35</v>
      </c>
      <c r="AH37" s="11"/>
    </row>
    <row r="38" spans="1:34" s="10" customFormat="1" x14ac:dyDescent="0.25">
      <c r="A38" s="18"/>
      <c r="B38" s="19">
        <v>0</v>
      </c>
      <c r="C38" s="19">
        <v>0</v>
      </c>
      <c r="D38" s="19">
        <v>0</v>
      </c>
      <c r="E38" s="28">
        <v>369</v>
      </c>
      <c r="F38" s="20" t="str">
        <f t="shared" si="0"/>
        <v>GUTIERREZ CRUZ, JESUS REFUGIO</v>
      </c>
      <c r="G38" s="21"/>
      <c r="H38" s="21">
        <v>0</v>
      </c>
      <c r="I38" s="28">
        <v>1</v>
      </c>
      <c r="J38" s="28">
        <v>0</v>
      </c>
      <c r="K38" s="28">
        <v>2</v>
      </c>
      <c r="L38" s="26" t="s">
        <v>2146</v>
      </c>
      <c r="M38" s="26" t="s">
        <v>1783</v>
      </c>
      <c r="N38" s="26" t="s">
        <v>1699</v>
      </c>
      <c r="O38" s="26" t="s">
        <v>2345</v>
      </c>
      <c r="P38" s="26" t="s">
        <v>302</v>
      </c>
      <c r="Q38" s="26">
        <v>4008528525</v>
      </c>
      <c r="R38" s="23">
        <v>31267</v>
      </c>
      <c r="S38" s="23">
        <v>40107</v>
      </c>
      <c r="T38" s="35"/>
      <c r="U38" s="26"/>
      <c r="V38" s="26" t="s">
        <v>2757</v>
      </c>
      <c r="W38" s="26">
        <v>28</v>
      </c>
      <c r="X38" s="26"/>
      <c r="Y38" s="26" t="s">
        <v>304</v>
      </c>
      <c r="Z38" s="26">
        <v>44970</v>
      </c>
      <c r="AA38" s="26" t="s">
        <v>111</v>
      </c>
      <c r="AB38" s="26" t="s">
        <v>2859</v>
      </c>
      <c r="AC38" s="23">
        <v>43140</v>
      </c>
      <c r="AD38" s="26">
        <v>223.07</v>
      </c>
      <c r="AE38" s="26">
        <v>234.07</v>
      </c>
      <c r="AG38" s="22" t="str">
        <f t="shared" si="1"/>
        <v>EXECUTE [dbo].[PG_CI_OPERADOR] 0, 0, 0, 369, 'GUTIERREZ CRUZ, JESUS REFUGIO' , '',0   , 1 , 0, 2,'JESUS REFUGIO', 'GUTIERREZ', 'CRUZ' , 'GUCJ8508086Q0', 'GUCJ850808HJCTRS01', '4008528525', '1985-08-08', '2009-10-21','','','SAN JOSE','28','','LAS JUNTAS','44970','TLAQUEPAQUE','','2018-02-09', 223.07,234.07</v>
      </c>
      <c r="AH38" s="11"/>
    </row>
    <row r="39" spans="1:34" s="10" customFormat="1" x14ac:dyDescent="0.25">
      <c r="A39" s="18"/>
      <c r="B39" s="19">
        <v>0</v>
      </c>
      <c r="C39" s="19">
        <v>0</v>
      </c>
      <c r="D39" s="19">
        <v>0</v>
      </c>
      <c r="E39" s="28">
        <v>370</v>
      </c>
      <c r="F39" s="20" t="str">
        <f t="shared" si="0"/>
        <v xml:space="preserve">GUTIERREZ ELIZALDE, MANUEL </v>
      </c>
      <c r="G39" s="21"/>
      <c r="H39" s="21">
        <v>0</v>
      </c>
      <c r="I39" s="28">
        <v>2</v>
      </c>
      <c r="J39" s="28">
        <v>2</v>
      </c>
      <c r="K39" s="28">
        <v>2</v>
      </c>
      <c r="L39" s="26" t="s">
        <v>2147</v>
      </c>
      <c r="M39" s="26" t="s">
        <v>1783</v>
      </c>
      <c r="N39" s="26" t="s">
        <v>1786</v>
      </c>
      <c r="O39" s="26" t="s">
        <v>2346</v>
      </c>
      <c r="P39" s="26" t="s">
        <v>306</v>
      </c>
      <c r="Q39" s="26">
        <v>1715610190</v>
      </c>
      <c r="R39" s="23">
        <v>20889</v>
      </c>
      <c r="S39" s="23">
        <v>41621</v>
      </c>
      <c r="T39" s="35" t="s">
        <v>307</v>
      </c>
      <c r="U39" s="26"/>
      <c r="V39" s="26" t="s">
        <v>2758</v>
      </c>
      <c r="W39" s="26">
        <v>10</v>
      </c>
      <c r="X39" s="26"/>
      <c r="Y39" s="26" t="s">
        <v>309</v>
      </c>
      <c r="Z39" s="26">
        <v>54960</v>
      </c>
      <c r="AA39" s="26" t="s">
        <v>310</v>
      </c>
      <c r="AB39" s="26" t="s">
        <v>2874</v>
      </c>
      <c r="AC39" s="23">
        <v>43471</v>
      </c>
      <c r="AD39" s="26">
        <v>110.59</v>
      </c>
      <c r="AE39" s="26">
        <v>115.59</v>
      </c>
      <c r="AG39" s="22" t="str">
        <f t="shared" si="1"/>
        <v>EXECUTE [dbo].[PG_CI_OPERADOR] 0, 0, 0, 370, 'GUTIERREZ ELIZALDE, MANUEL ' , '',0   , 2 , 2, 2,'MANUEL ', 'GUTIERREZ', 'ELIZALDE' , 'GUEM570310T41', 'GUEM570310HDFTLN07', '1715610190', '1957-03-10', '2013-12-13','773 141 4488','','CERRADA SIN NOMBRE','10','','SAN MIGUEL OTLICA','54960','TULTEPEC','TAMP30271','2019-01-06', 110.59,115.59</v>
      </c>
      <c r="AH39" s="11"/>
    </row>
    <row r="40" spans="1:34" s="10" customFormat="1" x14ac:dyDescent="0.25">
      <c r="A40" s="18"/>
      <c r="B40" s="19">
        <v>0</v>
      </c>
      <c r="C40" s="19">
        <v>0</v>
      </c>
      <c r="D40" s="19">
        <v>0</v>
      </c>
      <c r="E40" s="28">
        <v>371</v>
      </c>
      <c r="F40" s="20" t="str">
        <f t="shared" si="0"/>
        <v xml:space="preserve">HERNANDEZ BAUTISTA, JERMAN </v>
      </c>
      <c r="G40" s="21"/>
      <c r="H40" s="21">
        <v>0</v>
      </c>
      <c r="I40" s="28">
        <v>1</v>
      </c>
      <c r="J40" s="28">
        <v>0</v>
      </c>
      <c r="K40" s="28">
        <v>2</v>
      </c>
      <c r="L40" s="26" t="s">
        <v>2148</v>
      </c>
      <c r="M40" s="26" t="s">
        <v>1713</v>
      </c>
      <c r="N40" s="26" t="s">
        <v>1787</v>
      </c>
      <c r="O40" s="26" t="s">
        <v>2347</v>
      </c>
      <c r="P40" s="26" t="s">
        <v>313</v>
      </c>
      <c r="Q40" s="26">
        <v>72018107606</v>
      </c>
      <c r="R40" s="23">
        <v>29604</v>
      </c>
      <c r="S40" s="23">
        <v>39772</v>
      </c>
      <c r="T40" s="35"/>
      <c r="U40" s="26"/>
      <c r="V40" s="26" t="s">
        <v>191</v>
      </c>
      <c r="W40" s="26" t="s">
        <v>13</v>
      </c>
      <c r="X40" s="26"/>
      <c r="Y40" s="26" t="s">
        <v>315</v>
      </c>
      <c r="Z40" s="26">
        <v>39124</v>
      </c>
      <c r="AA40" s="26" t="s">
        <v>316</v>
      </c>
      <c r="AB40" s="26" t="s">
        <v>2859</v>
      </c>
      <c r="AC40" s="23">
        <v>43140</v>
      </c>
      <c r="AD40" s="26">
        <v>110.59</v>
      </c>
      <c r="AE40" s="26">
        <v>116.19</v>
      </c>
      <c r="AG40" s="22" t="str">
        <f t="shared" si="1"/>
        <v>EXECUTE [dbo].[PG_CI_OPERADOR] 0, 0, 0, 371, 'HERNANDEZ BAUTISTA, JERMAN ' , '',0   , 1 , 0, 2,'JERMAN ', 'HERNANDEZ', 'BAUTISTA' , 'HEBJ8101183P7', 'HEBJ810118HGRRTR07', '72018107606', '1981-01-18', '2008-11-20','','','VICENTE GUERRERO','S/N','','LOS CAJELITOS','39124','CHILPANCINGO DE LOS BRAVOS','','2018-02-09', 110.59,116.19</v>
      </c>
      <c r="AH40" s="11"/>
    </row>
    <row r="41" spans="1:34" s="10" customFormat="1" x14ac:dyDescent="0.25">
      <c r="A41" s="18"/>
      <c r="B41" s="19">
        <v>0</v>
      </c>
      <c r="C41" s="19">
        <v>0</v>
      </c>
      <c r="D41" s="19">
        <v>0</v>
      </c>
      <c r="E41" s="28">
        <v>372</v>
      </c>
      <c r="F41" s="20" t="str">
        <f t="shared" si="0"/>
        <v>HERNANDEZ ULLOA, ROBERTO CARLOS</v>
      </c>
      <c r="G41" s="21"/>
      <c r="H41" s="21">
        <v>0</v>
      </c>
      <c r="I41" s="28">
        <v>2</v>
      </c>
      <c r="J41" s="28">
        <v>3</v>
      </c>
      <c r="K41" s="28">
        <v>2</v>
      </c>
      <c r="L41" s="26" t="s">
        <v>2149</v>
      </c>
      <c r="M41" s="26" t="s">
        <v>1713</v>
      </c>
      <c r="N41" s="26" t="s">
        <v>1789</v>
      </c>
      <c r="O41" s="26" t="s">
        <v>2348</v>
      </c>
      <c r="P41" s="26" t="s">
        <v>318</v>
      </c>
      <c r="Q41" s="26">
        <v>13068902868</v>
      </c>
      <c r="R41" s="23">
        <v>32753</v>
      </c>
      <c r="S41" s="23">
        <v>41556</v>
      </c>
      <c r="T41" s="35" t="s">
        <v>319</v>
      </c>
      <c r="U41" s="26"/>
      <c r="V41" s="26" t="s">
        <v>2759</v>
      </c>
      <c r="W41" s="26" t="s">
        <v>13</v>
      </c>
      <c r="X41" s="26"/>
      <c r="Y41" s="26" t="s">
        <v>321</v>
      </c>
      <c r="Z41" s="26">
        <v>54680</v>
      </c>
      <c r="AA41" s="26" t="s">
        <v>322</v>
      </c>
      <c r="AB41" s="26" t="s">
        <v>2875</v>
      </c>
      <c r="AC41" s="23">
        <v>43042</v>
      </c>
      <c r="AD41" s="26">
        <v>110.59</v>
      </c>
      <c r="AE41" s="26">
        <v>115.74</v>
      </c>
      <c r="AG41" s="22" t="str">
        <f t="shared" si="1"/>
        <v>EXECUTE [dbo].[PG_CI_OPERADOR] 0, 0, 0, 372, 'HERNANDEZ ULLOA, ROBERTO CARLOS' , '',0   , 2 , 3, 2,'ROBERTO CARLOS', 'HERNANDEZ', 'ULLOA' , 'HEUR890902', 'HEUR890902HHGRLB06', '13068902868', '1989-09-02', '2013-10-09','4619 7753','','AV. LEGISLATURA','S/N','','SAN MIGUEL JAGÃœEYES','54680','HUEHUETOCA','DF0015641','2017-11-03', 110.59,115.74</v>
      </c>
      <c r="AH41" s="11"/>
    </row>
    <row r="42" spans="1:34" s="10" customFormat="1" x14ac:dyDescent="0.25">
      <c r="A42" s="18"/>
      <c r="B42" s="19">
        <v>0</v>
      </c>
      <c r="C42" s="19">
        <v>0</v>
      </c>
      <c r="D42" s="19">
        <v>0</v>
      </c>
      <c r="E42" s="28">
        <v>373</v>
      </c>
      <c r="F42" s="20" t="str">
        <f t="shared" si="0"/>
        <v xml:space="preserve">HERRERA ANDAZOLA, ARNULFO </v>
      </c>
      <c r="G42" s="21"/>
      <c r="H42" s="21">
        <v>0</v>
      </c>
      <c r="I42" s="28">
        <v>1</v>
      </c>
      <c r="J42" s="28">
        <v>0</v>
      </c>
      <c r="K42" s="28">
        <v>2</v>
      </c>
      <c r="L42" s="26" t="s">
        <v>2150</v>
      </c>
      <c r="M42" s="26" t="s">
        <v>1792</v>
      </c>
      <c r="N42" s="26" t="s">
        <v>1793</v>
      </c>
      <c r="O42" s="26" t="s">
        <v>2349</v>
      </c>
      <c r="P42" s="26" t="s">
        <v>325</v>
      </c>
      <c r="Q42" s="26">
        <v>33675011275</v>
      </c>
      <c r="R42" s="23">
        <v>18390</v>
      </c>
      <c r="S42" s="23">
        <v>38902</v>
      </c>
      <c r="T42" s="35"/>
      <c r="U42" s="26"/>
      <c r="V42" s="26" t="s">
        <v>2475</v>
      </c>
      <c r="W42" s="26">
        <v>9013</v>
      </c>
      <c r="X42" s="26"/>
      <c r="Y42" s="26" t="s">
        <v>327</v>
      </c>
      <c r="Z42" s="26">
        <v>31100</v>
      </c>
      <c r="AA42" s="26" t="s">
        <v>118</v>
      </c>
      <c r="AB42" s="26" t="s">
        <v>2859</v>
      </c>
      <c r="AC42" s="23">
        <v>42684</v>
      </c>
      <c r="AD42" s="26">
        <v>110.59</v>
      </c>
      <c r="AE42" s="26">
        <v>116.35</v>
      </c>
      <c r="AG42" s="22" t="str">
        <f t="shared" si="1"/>
        <v>EXECUTE [dbo].[PG_CI_OPERADOR] 0, 0, 0, 373, 'HERRERA ANDAZOLA, ARNULFO ' , '',0   , 1 , 0, 2,'ARNULFO ', 'HERRERA', 'ANDAZOLA' , 'HEAA500507FF4', 'HEAA500507HCHRNR00', '33675011275', '1950-05-07', '2006-07-04','','','CHOFERES','9013','','2 DE JUNIO','31100','CHIHUAHUA','','2016-11-10', 110.59,116.35</v>
      </c>
      <c r="AH42" s="11"/>
    </row>
    <row r="43" spans="1:34" s="10" customFormat="1" x14ac:dyDescent="0.25">
      <c r="A43" s="18"/>
      <c r="B43" s="19">
        <v>0</v>
      </c>
      <c r="C43" s="19">
        <v>0</v>
      </c>
      <c r="D43" s="19">
        <v>0</v>
      </c>
      <c r="E43" s="28">
        <v>374</v>
      </c>
      <c r="F43" s="20" t="str">
        <f t="shared" si="0"/>
        <v xml:space="preserve">JIMENEZ CASTILLO, MARGARITO </v>
      </c>
      <c r="G43" s="21"/>
      <c r="H43" s="21">
        <v>0</v>
      </c>
      <c r="I43" s="28">
        <v>1</v>
      </c>
      <c r="J43" s="28">
        <v>2</v>
      </c>
      <c r="K43" s="28">
        <v>2</v>
      </c>
      <c r="L43" s="26" t="s">
        <v>2151</v>
      </c>
      <c r="M43" s="26" t="s">
        <v>1795</v>
      </c>
      <c r="N43" s="26" t="s">
        <v>1745</v>
      </c>
      <c r="O43" s="26" t="s">
        <v>2350</v>
      </c>
      <c r="P43" s="26" t="s">
        <v>329</v>
      </c>
      <c r="Q43" s="26">
        <v>13826601372</v>
      </c>
      <c r="R43" s="23">
        <v>24498</v>
      </c>
      <c r="S43" s="23">
        <v>40948</v>
      </c>
      <c r="T43" s="35" t="s">
        <v>330</v>
      </c>
      <c r="U43" s="26"/>
      <c r="V43" s="26" t="s">
        <v>331</v>
      </c>
      <c r="W43" s="26" t="s">
        <v>13</v>
      </c>
      <c r="X43" s="26"/>
      <c r="Y43" s="26" t="s">
        <v>332</v>
      </c>
      <c r="Z43" s="26">
        <v>42980</v>
      </c>
      <c r="AA43" s="26" t="s">
        <v>333</v>
      </c>
      <c r="AB43" s="26" t="s">
        <v>2905</v>
      </c>
      <c r="AC43" s="23">
        <v>43471</v>
      </c>
      <c r="AD43" s="26">
        <v>110.59</v>
      </c>
      <c r="AE43" s="26">
        <v>116.04</v>
      </c>
      <c r="AG43" s="22" t="str">
        <f t="shared" si="1"/>
        <v>EXECUTE [dbo].[PG_CI_OPERADOR] 0, 0, 0, 374, 'JIMENEZ CASTILLO, MARGARITO ' , '',0   , 1 , 2, 2,'MARGARITO ', 'JIMENEZ', 'CASTILLO' , 'JICM670126FT8', 'JICM670126HHGMSR09', '13826601372', '1967-01-26', '2012-02-09','01599 9482116','','CANAL ARTICULO 27','S/N','','EL REFUGIO','42980','ATOTONILCO DE TULA','DF118520','2019-01-06', 110.59,116.04</v>
      </c>
      <c r="AH43" s="11"/>
    </row>
    <row r="44" spans="1:34" s="10" customFormat="1" x14ac:dyDescent="0.25">
      <c r="A44" s="18"/>
      <c r="B44" s="19">
        <v>0</v>
      </c>
      <c r="C44" s="19">
        <v>0</v>
      </c>
      <c r="D44" s="19">
        <v>0</v>
      </c>
      <c r="E44" s="28">
        <v>375</v>
      </c>
      <c r="F44" s="20" t="str">
        <f t="shared" si="0"/>
        <v xml:space="preserve">LINALDI MARTINEZ, ENRIQUE </v>
      </c>
      <c r="G44" s="21"/>
      <c r="H44" s="21">
        <v>0</v>
      </c>
      <c r="I44" s="28">
        <v>1</v>
      </c>
      <c r="J44" s="28">
        <v>0</v>
      </c>
      <c r="K44" s="28">
        <v>2</v>
      </c>
      <c r="L44" s="26" t="s">
        <v>2152</v>
      </c>
      <c r="M44" s="26" t="s">
        <v>1701</v>
      </c>
      <c r="N44" s="26" t="s">
        <v>1765</v>
      </c>
      <c r="O44" s="26" t="s">
        <v>2351</v>
      </c>
      <c r="P44" s="26" t="s">
        <v>336</v>
      </c>
      <c r="Q44" s="26">
        <v>67826508599</v>
      </c>
      <c r="R44" s="23">
        <v>23803</v>
      </c>
      <c r="S44" s="23">
        <v>39472</v>
      </c>
      <c r="T44" s="35"/>
      <c r="U44" s="26"/>
      <c r="V44" s="26" t="s">
        <v>2760</v>
      </c>
      <c r="W44" s="26">
        <v>187</v>
      </c>
      <c r="X44" s="26"/>
      <c r="Y44" s="26" t="s">
        <v>338</v>
      </c>
      <c r="Z44" s="26">
        <v>68443</v>
      </c>
      <c r="AA44" s="26" t="s">
        <v>339</v>
      </c>
      <c r="AB44" s="26" t="s">
        <v>2859</v>
      </c>
      <c r="AC44" s="23">
        <v>42684</v>
      </c>
      <c r="AD44" s="26">
        <v>110.59</v>
      </c>
      <c r="AE44" s="26">
        <v>116.19</v>
      </c>
      <c r="AG44" s="22" t="str">
        <f t="shared" si="1"/>
        <v>EXECUTE [dbo].[PG_CI_OPERADOR] 0, 0, 0, 375, 'LINALDI MARTINEZ, ENRIQUE ' , '',0   , 1 , 0, 2,'ENRIQUE ', 'LINALDI', 'MARTINEZ' , 'LIME650302QR5', 'LIME650302HOCNRN05', '67826508599', '1965-03-02', '2008-01-25','','','AV. MANUEL AVILA CAMACHO','187','','SAN ANTONIO ENCINAL','68443','TUXTEPEC','','2016-11-10', 110.59,116.19</v>
      </c>
      <c r="AH44" s="11"/>
    </row>
    <row r="45" spans="1:34" s="10" customFormat="1" x14ac:dyDescent="0.25">
      <c r="A45" s="18"/>
      <c r="B45" s="19">
        <v>0</v>
      </c>
      <c r="C45" s="19">
        <v>0</v>
      </c>
      <c r="D45" s="19">
        <v>0</v>
      </c>
      <c r="E45" s="28">
        <v>376</v>
      </c>
      <c r="F45" s="20" t="str">
        <f t="shared" si="0"/>
        <v>LINALDI MARTINEZ, JUAN JOSE</v>
      </c>
      <c r="G45" s="21"/>
      <c r="H45" s="21">
        <v>0</v>
      </c>
      <c r="I45" s="28">
        <v>1</v>
      </c>
      <c r="J45" s="28">
        <v>0</v>
      </c>
      <c r="K45" s="28">
        <v>2</v>
      </c>
      <c r="L45" s="26" t="s">
        <v>2153</v>
      </c>
      <c r="M45" s="26" t="s">
        <v>1701</v>
      </c>
      <c r="N45" s="26" t="s">
        <v>1765</v>
      </c>
      <c r="O45" s="26" t="s">
        <v>2352</v>
      </c>
      <c r="P45" s="26" t="s">
        <v>341</v>
      </c>
      <c r="Q45" s="26">
        <v>78947025199</v>
      </c>
      <c r="R45" s="23">
        <v>25707</v>
      </c>
      <c r="S45" s="23">
        <v>41222</v>
      </c>
      <c r="T45" s="35" t="s">
        <v>342</v>
      </c>
      <c r="U45" s="26"/>
      <c r="V45" s="26" t="s">
        <v>1322</v>
      </c>
      <c r="W45" s="26">
        <v>115</v>
      </c>
      <c r="X45" s="26"/>
      <c r="Y45" s="26" t="s">
        <v>344</v>
      </c>
      <c r="Z45" s="26">
        <v>68330</v>
      </c>
      <c r="AA45" s="26" t="s">
        <v>270</v>
      </c>
      <c r="AB45" s="26" t="s">
        <v>2859</v>
      </c>
      <c r="AC45" s="23">
        <v>42684</v>
      </c>
      <c r="AD45" s="26">
        <v>110.59</v>
      </c>
      <c r="AE45" s="26">
        <v>115.74</v>
      </c>
      <c r="AG45" s="22" t="str">
        <f t="shared" si="1"/>
        <v>EXECUTE [dbo].[PG_CI_OPERADOR] 0, 0, 0, 376, 'LINALDI MARTINEZ, JUAN JOSE' , '',0   , 1 , 0, 2,'JUAN JOSE', 'LINALDI', 'MARTINEZ' , 'LIMJ700519U4A', 'LIMJ700519HOCNRN06', '78947025199', '1970-05-19', '2012-11-09','01287 87 16 387','','EMILIANO ZAPATA','115','','SAN ANTONIO EL ENCINAL','68330','SAN JUAN BAUTISTA TUXTEPEC','','2016-11-10', 110.59,115.74</v>
      </c>
      <c r="AH45" s="11"/>
    </row>
    <row r="46" spans="1:34" s="10" customFormat="1" x14ac:dyDescent="0.25">
      <c r="A46" s="18"/>
      <c r="B46" s="19">
        <v>0</v>
      </c>
      <c r="C46" s="19">
        <v>0</v>
      </c>
      <c r="D46" s="19">
        <v>0</v>
      </c>
      <c r="E46" s="28">
        <v>377</v>
      </c>
      <c r="F46" s="20" t="str">
        <f t="shared" si="0"/>
        <v xml:space="preserve">LINALDI MARTINEZ, MARIANO </v>
      </c>
      <c r="G46" s="21"/>
      <c r="H46" s="21">
        <v>0</v>
      </c>
      <c r="I46" s="28">
        <v>2</v>
      </c>
      <c r="J46" s="28">
        <v>2</v>
      </c>
      <c r="K46" s="28">
        <v>2</v>
      </c>
      <c r="L46" s="26" t="s">
        <v>2154</v>
      </c>
      <c r="M46" s="26" t="s">
        <v>1701</v>
      </c>
      <c r="N46" s="26" t="s">
        <v>1765</v>
      </c>
      <c r="O46" s="26" t="s">
        <v>2353</v>
      </c>
      <c r="P46" s="26" t="s">
        <v>346</v>
      </c>
      <c r="Q46" s="26">
        <v>78826604841</v>
      </c>
      <c r="R46" s="23">
        <v>24359</v>
      </c>
      <c r="S46" s="23">
        <v>41971</v>
      </c>
      <c r="T46" s="35"/>
      <c r="U46" s="26"/>
      <c r="V46" s="26" t="s">
        <v>2761</v>
      </c>
      <c r="W46" s="26">
        <v>31</v>
      </c>
      <c r="X46" s="26" t="s">
        <v>2477</v>
      </c>
      <c r="Y46" s="26" t="s">
        <v>179</v>
      </c>
      <c r="Z46" s="26">
        <v>90200</v>
      </c>
      <c r="AA46" s="26" t="s">
        <v>348</v>
      </c>
      <c r="AB46" s="26" t="s">
        <v>2876</v>
      </c>
      <c r="AC46" s="23">
        <v>43471</v>
      </c>
      <c r="AD46" s="26">
        <v>110.59</v>
      </c>
      <c r="AE46" s="26">
        <v>115.59</v>
      </c>
      <c r="AG46" s="22" t="str">
        <f t="shared" si="1"/>
        <v>EXECUTE [dbo].[PG_CI_OPERADOR] 0, 0, 0, 377, 'LINALDI MARTINEZ, MARIANO ' , '',0   , 2 , 2, 2,'MARIANO ', 'LINALDI', 'MARTINEZ' , 'LIMM66090977A', 'LIMM660909HOCNRR08', '78826604841', '1966-09-09', '2014-11-28','','','PRIV. RINCON DE LOS TULIPANES','31','LT-32','FRACCIONAMIENTO EL REFUGIO','90200','CALPULALPAN','VER106170','2019-01-06', 110.59,115.59</v>
      </c>
      <c r="AH46" s="11"/>
    </row>
    <row r="47" spans="1:34" s="10" customFormat="1" x14ac:dyDescent="0.25">
      <c r="A47" s="18"/>
      <c r="B47" s="19">
        <v>0</v>
      </c>
      <c r="C47" s="19">
        <v>0</v>
      </c>
      <c r="D47" s="19">
        <v>0</v>
      </c>
      <c r="E47" s="28">
        <v>378</v>
      </c>
      <c r="F47" s="20" t="str">
        <f t="shared" si="0"/>
        <v>LOYA NEVAREZ, JORGE ALBERTO</v>
      </c>
      <c r="G47" s="21"/>
      <c r="H47" s="21">
        <v>0</v>
      </c>
      <c r="I47" s="28">
        <v>1</v>
      </c>
      <c r="J47" s="28">
        <v>2</v>
      </c>
      <c r="K47" s="28">
        <v>2</v>
      </c>
      <c r="L47" s="26" t="s">
        <v>2155</v>
      </c>
      <c r="M47" s="26" t="s">
        <v>1799</v>
      </c>
      <c r="N47" s="26" t="s">
        <v>1800</v>
      </c>
      <c r="O47" s="26" t="s">
        <v>2354</v>
      </c>
      <c r="P47" s="26" t="s">
        <v>352</v>
      </c>
      <c r="Q47" s="26">
        <v>33836534595</v>
      </c>
      <c r="R47" s="23">
        <v>23775</v>
      </c>
      <c r="S47" s="23">
        <v>40989</v>
      </c>
      <c r="T47" s="35" t="s">
        <v>353</v>
      </c>
      <c r="U47" s="26"/>
      <c r="V47" s="26" t="s">
        <v>2762</v>
      </c>
      <c r="W47" s="26">
        <v>6951</v>
      </c>
      <c r="X47" s="26"/>
      <c r="Y47" s="26" t="s">
        <v>355</v>
      </c>
      <c r="Z47" s="26">
        <v>32121</v>
      </c>
      <c r="AA47" s="26" t="s">
        <v>117</v>
      </c>
      <c r="AB47" s="26" t="s">
        <v>2877</v>
      </c>
      <c r="AC47" s="23">
        <v>41909</v>
      </c>
      <c r="AD47" s="26">
        <v>110.59</v>
      </c>
      <c r="AE47" s="26">
        <v>116.04</v>
      </c>
      <c r="AG47" s="22" t="str">
        <f t="shared" si="1"/>
        <v>EXECUTE [dbo].[PG_CI_OPERADOR] 0, 0, 0, 378, 'LOYA NEVAREZ, JORGE ALBERTO' , '',0   , 1 , 2, 2,'JORGE ALBERTO', 'LOYA', 'NEVAREZ' , 'LONJ650202KA0', 'LONJ650202HCHYVR06', '33836534595', '1965-02-02', '2012-03-21','656 5631537','','GUADALUPE BENITEZ','6951','','INFONAVIT JAUREZ NUEVO','32121','CD. JUAREZ','CHIH10355','2014-09-27', 110.59,116.04</v>
      </c>
      <c r="AH47" s="11"/>
    </row>
    <row r="48" spans="1:34" s="10" customFormat="1" x14ac:dyDescent="0.25">
      <c r="A48" s="18"/>
      <c r="B48" s="19">
        <v>0</v>
      </c>
      <c r="C48" s="19">
        <v>0</v>
      </c>
      <c r="D48" s="19">
        <v>0</v>
      </c>
      <c r="E48" s="28">
        <v>379</v>
      </c>
      <c r="F48" s="20" t="str">
        <f t="shared" si="0"/>
        <v xml:space="preserve">MALDONADO GARCIA, EDUARDO </v>
      </c>
      <c r="G48" s="21"/>
      <c r="H48" s="21">
        <v>0</v>
      </c>
      <c r="I48" s="28">
        <v>2</v>
      </c>
      <c r="J48" s="28">
        <v>2</v>
      </c>
      <c r="K48" s="28">
        <v>2</v>
      </c>
      <c r="L48" s="26" t="s">
        <v>2156</v>
      </c>
      <c r="M48" s="26" t="s">
        <v>1803</v>
      </c>
      <c r="N48" s="26" t="s">
        <v>1773</v>
      </c>
      <c r="O48" s="26" t="s">
        <v>2355</v>
      </c>
      <c r="P48" s="26" t="s">
        <v>358</v>
      </c>
      <c r="Q48" s="26">
        <v>20947308613</v>
      </c>
      <c r="R48" s="23">
        <v>26922</v>
      </c>
      <c r="S48" s="23">
        <v>39689</v>
      </c>
      <c r="T48" s="35"/>
      <c r="U48" s="26"/>
      <c r="V48" s="26" t="s">
        <v>2763</v>
      </c>
      <c r="W48" s="26" t="s">
        <v>2478</v>
      </c>
      <c r="X48" s="26"/>
      <c r="Y48" s="26" t="s">
        <v>360</v>
      </c>
      <c r="Z48" s="26">
        <v>55060</v>
      </c>
      <c r="AA48" s="26" t="s">
        <v>240</v>
      </c>
      <c r="AB48" s="26" t="s">
        <v>2878</v>
      </c>
      <c r="AC48" s="23">
        <v>42901</v>
      </c>
      <c r="AD48" s="26">
        <v>110.59</v>
      </c>
      <c r="AE48" s="26">
        <v>116.19</v>
      </c>
      <c r="AG48" s="22" t="str">
        <f t="shared" si="1"/>
        <v>EXECUTE [dbo].[PG_CI_OPERADOR] 0, 0, 0, 379, 'MALDONADO GARCIA, EDUARDO ' , '',0   , 2 , 2, 2,'EDUARDO ', 'MALDONADO', 'GARCIA' , 'MAGE7309159C7', 'MAGE730915HDFLRD04', '20947308613', '1973-09-15', '2008-08-29','','','ALCATRACES DE KALO','10-A','','LOS ALCATRACES','55060','ECATEPEC DE MORELOS','DF0015636','2017-06-15', 110.59,116.19</v>
      </c>
      <c r="AH48" s="11"/>
    </row>
    <row r="49" spans="1:34" s="10" customFormat="1" x14ac:dyDescent="0.25">
      <c r="A49" s="18"/>
      <c r="B49" s="19">
        <v>0</v>
      </c>
      <c r="C49" s="19">
        <v>0</v>
      </c>
      <c r="D49" s="19">
        <v>0</v>
      </c>
      <c r="E49" s="28">
        <v>380</v>
      </c>
      <c r="F49" s="20" t="str">
        <f t="shared" si="0"/>
        <v>MARTINEZ CANO, JOSE ENRIQUE</v>
      </c>
      <c r="G49" s="21"/>
      <c r="H49" s="21">
        <v>0</v>
      </c>
      <c r="I49" s="28">
        <v>1</v>
      </c>
      <c r="J49" s="28">
        <v>2</v>
      </c>
      <c r="K49" s="28">
        <v>2</v>
      </c>
      <c r="L49" s="26" t="s">
        <v>2157</v>
      </c>
      <c r="M49" s="26" t="s">
        <v>1765</v>
      </c>
      <c r="N49" s="26" t="s">
        <v>1805</v>
      </c>
      <c r="O49" s="26" t="s">
        <v>2356</v>
      </c>
      <c r="P49" s="26" t="s">
        <v>363</v>
      </c>
      <c r="Q49" s="26">
        <v>16846300545</v>
      </c>
      <c r="R49" s="23">
        <v>23207</v>
      </c>
      <c r="S49" s="23">
        <v>41246</v>
      </c>
      <c r="T49" s="35" t="s">
        <v>364</v>
      </c>
      <c r="U49" s="26"/>
      <c r="V49" s="26" t="s">
        <v>2764</v>
      </c>
      <c r="W49" s="26" t="s">
        <v>2479</v>
      </c>
      <c r="X49" s="26" t="s">
        <v>2480</v>
      </c>
      <c r="Y49" s="26" t="s">
        <v>366</v>
      </c>
      <c r="Z49" s="26">
        <v>55736</v>
      </c>
      <c r="AA49" s="26" t="s">
        <v>367</v>
      </c>
      <c r="AB49" s="26" t="s">
        <v>2879</v>
      </c>
      <c r="AC49" s="23">
        <v>43471</v>
      </c>
      <c r="AD49" s="26">
        <v>110.59</v>
      </c>
      <c r="AE49" s="26">
        <v>115.74</v>
      </c>
      <c r="AG49" s="22" t="str">
        <f t="shared" si="1"/>
        <v>EXECUTE [dbo].[PG_CI_OPERADOR] 0, 0, 0, 380, 'MARTINEZ CANO, JOSE ENRIQUE' , '',0   , 1 , 2, 2,'JOSE ENRIQUE', 'MARTINEZ', 'CANO' , 'MACE630715QY5', 'MACE630715HDFRNN09', '16846300545', '1963-07-15', '2012-12-03','50-48-67-78','','CERRO DEL TEPEYAC','MZ-15','LT-38','LOMAS DE COACALCO','55736','COACALCO','DF0010340','2019-01-06', 110.59,115.74</v>
      </c>
      <c r="AH49" s="11"/>
    </row>
    <row r="50" spans="1:34" s="10" customFormat="1" x14ac:dyDescent="0.25">
      <c r="A50" s="18"/>
      <c r="B50" s="19">
        <v>0</v>
      </c>
      <c r="C50" s="19">
        <v>0</v>
      </c>
      <c r="D50" s="19">
        <v>0</v>
      </c>
      <c r="E50" s="28">
        <v>381</v>
      </c>
      <c r="F50" s="20" t="str">
        <f t="shared" si="0"/>
        <v xml:space="preserve">MARTINEZ QUINTANA, JORGE </v>
      </c>
      <c r="G50" s="21"/>
      <c r="H50" s="21">
        <v>0</v>
      </c>
      <c r="I50" s="28">
        <v>2</v>
      </c>
      <c r="J50" s="28">
        <v>0</v>
      </c>
      <c r="K50" s="28">
        <v>2</v>
      </c>
      <c r="L50" s="26" t="s">
        <v>2158</v>
      </c>
      <c r="M50" s="26" t="s">
        <v>1765</v>
      </c>
      <c r="N50" s="26" t="s">
        <v>1806</v>
      </c>
      <c r="O50" s="26" t="s">
        <v>2357</v>
      </c>
      <c r="P50" s="26" t="s">
        <v>370</v>
      </c>
      <c r="Q50" s="26">
        <v>96937439477</v>
      </c>
      <c r="R50" s="23">
        <v>27123</v>
      </c>
      <c r="S50" s="23">
        <v>39899</v>
      </c>
      <c r="T50" s="35"/>
      <c r="U50" s="26"/>
      <c r="V50" s="26" t="s">
        <v>2765</v>
      </c>
      <c r="W50" s="26"/>
      <c r="X50" s="26" t="s">
        <v>2485</v>
      </c>
      <c r="Y50" s="26" t="s">
        <v>372</v>
      </c>
      <c r="Z50" s="26">
        <v>56240</v>
      </c>
      <c r="AA50" s="26" t="s">
        <v>373</v>
      </c>
      <c r="AB50" s="26" t="s">
        <v>2859</v>
      </c>
      <c r="AC50" s="23">
        <v>43701</v>
      </c>
      <c r="AD50" s="26">
        <v>110.59</v>
      </c>
      <c r="AE50" s="26">
        <v>116.19</v>
      </c>
      <c r="AG50" s="22" t="str">
        <f t="shared" si="1"/>
        <v>EXECUTE [dbo].[PG_CI_OPERADOR] 0, 0, 0, 381, 'MARTINEZ QUINTANA, JORGE ' , '',0   , 2 , 0, 2,'JORGE ', 'MARTINEZ', 'QUINTANA' , 'MAQJ740404HA1', 'MAQJ740404HMCRNR09', '96937439477', '1974-04-04', '2009-03-27','','','CDA. DE LAS MANZANAS','','LT-9','JARDINES DE SANTA INES','56240','TEXCOCO','','2019-08-24', 110.59,116.19</v>
      </c>
      <c r="AH50" s="11"/>
    </row>
    <row r="51" spans="1:34" s="10" customFormat="1" x14ac:dyDescent="0.25">
      <c r="A51" s="18"/>
      <c r="B51" s="19">
        <v>0</v>
      </c>
      <c r="C51" s="19">
        <v>0</v>
      </c>
      <c r="D51" s="19">
        <v>0</v>
      </c>
      <c r="E51" s="28">
        <v>382</v>
      </c>
      <c r="F51" s="20" t="str">
        <f t="shared" si="0"/>
        <v>MARTINEZ RAMIREZ, JOSE OSCAR</v>
      </c>
      <c r="G51" s="21"/>
      <c r="H51" s="21">
        <v>0</v>
      </c>
      <c r="I51" s="28">
        <v>1</v>
      </c>
      <c r="J51" s="28">
        <v>2</v>
      </c>
      <c r="K51" s="28">
        <v>2</v>
      </c>
      <c r="L51" s="26" t="s">
        <v>2159</v>
      </c>
      <c r="M51" s="26" t="s">
        <v>1765</v>
      </c>
      <c r="N51" s="26" t="s">
        <v>1724</v>
      </c>
      <c r="O51" s="26" t="s">
        <v>2358</v>
      </c>
      <c r="P51" s="26" t="s">
        <v>375</v>
      </c>
      <c r="Q51" s="26">
        <v>33917509631</v>
      </c>
      <c r="R51" s="23">
        <v>27756</v>
      </c>
      <c r="S51" s="23">
        <v>41206</v>
      </c>
      <c r="T51" s="35" t="s">
        <v>376</v>
      </c>
      <c r="U51" s="26"/>
      <c r="V51" s="26" t="s">
        <v>2766</v>
      </c>
      <c r="W51" s="26">
        <v>3114</v>
      </c>
      <c r="X51" s="26"/>
      <c r="Y51" s="26" t="s">
        <v>378</v>
      </c>
      <c r="Z51" s="26">
        <v>32600</v>
      </c>
      <c r="AA51" s="26" t="s">
        <v>117</v>
      </c>
      <c r="AB51" s="26" t="s">
        <v>2880</v>
      </c>
      <c r="AC51" s="23">
        <v>41834</v>
      </c>
      <c r="AD51" s="26">
        <v>110.59</v>
      </c>
      <c r="AE51" s="26">
        <v>115.89</v>
      </c>
      <c r="AG51" s="22" t="str">
        <f t="shared" si="1"/>
        <v>EXECUTE [dbo].[PG_CI_OPERADOR] 0, 0, 0, 382, 'MARTINEZ RAMIREZ, JOSE OSCAR' , '',0   , 1 , 2, 2,'JOSE OSCAR', 'MARTINEZ', 'RAMIREZ' , 'MARO751228412', 'MARO751228HCHRMS05', '33917509631', '1975-12-28', '2012-10-24','045 65 6193 5526','','FRANCISCO MAYORAL','3114','','INFONAVIT CASAS GRANDES','32600','CD. JUAREZ','CHIH20269','2014-07-14', 110.59,115.89</v>
      </c>
      <c r="AH51" s="11"/>
    </row>
    <row r="52" spans="1:34" s="10" customFormat="1" x14ac:dyDescent="0.25">
      <c r="A52" s="18"/>
      <c r="B52" s="19">
        <v>0</v>
      </c>
      <c r="C52" s="19">
        <v>0</v>
      </c>
      <c r="D52" s="19">
        <v>0</v>
      </c>
      <c r="E52" s="28">
        <v>383</v>
      </c>
      <c r="F52" s="20" t="str">
        <f t="shared" si="0"/>
        <v xml:space="preserve">MARTINEZ TORRES, HERIBERTO </v>
      </c>
      <c r="G52" s="21"/>
      <c r="H52" s="21">
        <v>0</v>
      </c>
      <c r="I52" s="28">
        <v>2</v>
      </c>
      <c r="J52" s="28">
        <v>2</v>
      </c>
      <c r="K52" s="28">
        <v>2</v>
      </c>
      <c r="L52" s="26" t="s">
        <v>2160</v>
      </c>
      <c r="M52" s="26" t="s">
        <v>1765</v>
      </c>
      <c r="N52" s="26" t="s">
        <v>1731</v>
      </c>
      <c r="O52" s="26" t="s">
        <v>381</v>
      </c>
      <c r="P52" s="26" t="s">
        <v>382</v>
      </c>
      <c r="Q52" s="26">
        <v>92887225495</v>
      </c>
      <c r="R52" s="23">
        <v>26476</v>
      </c>
      <c r="S52" s="23">
        <v>42314</v>
      </c>
      <c r="T52" s="35">
        <v>5524143129</v>
      </c>
      <c r="U52" s="26"/>
      <c r="V52" s="26" t="s">
        <v>2767</v>
      </c>
      <c r="W52" s="26" t="s">
        <v>13</v>
      </c>
      <c r="X52" s="26"/>
      <c r="Y52" s="26" t="s">
        <v>384</v>
      </c>
      <c r="Z52" s="26">
        <v>54680</v>
      </c>
      <c r="AA52" s="26" t="s">
        <v>322</v>
      </c>
      <c r="AB52" s="26" t="s">
        <v>2881</v>
      </c>
      <c r="AC52" s="23">
        <v>43471</v>
      </c>
      <c r="AD52" s="26">
        <v>110.59</v>
      </c>
      <c r="AE52" s="26">
        <v>115.59</v>
      </c>
      <c r="AG52" s="22" t="str">
        <f t="shared" si="1"/>
        <v>EXECUTE [dbo].[PG_CI_OPERADOR] 0, 0, 0, 383, 'MARTINEZ TORRES, HERIBERTO ' , '',0   , 2 , 2, 2,'HERIBERTO ', 'MARTINEZ', 'TORRES' , 'MATH720626IZ7', 'MATH720626HDFRRR02', '92887225495', '1972-06-26', '2015-11-06','5524143129','','PRIV RIO CLARO','S/N','','BO. SALITRILLO','54680','HUEHUETOCA','DF0023123','2019-01-06', 110.59,115.59</v>
      </c>
      <c r="AH52" s="11"/>
    </row>
    <row r="53" spans="1:34" s="10" customFormat="1" x14ac:dyDescent="0.25">
      <c r="A53" s="18"/>
      <c r="B53" s="19">
        <v>0</v>
      </c>
      <c r="C53" s="19">
        <v>0</v>
      </c>
      <c r="D53" s="19">
        <v>0</v>
      </c>
      <c r="E53" s="28">
        <v>384</v>
      </c>
      <c r="F53" s="20" t="str">
        <f t="shared" si="0"/>
        <v>MAYORQUIN ROCHA, FRANCISCO JAVIER</v>
      </c>
      <c r="G53" s="21"/>
      <c r="H53" s="21">
        <v>0</v>
      </c>
      <c r="I53" s="28">
        <v>2</v>
      </c>
      <c r="J53" s="28">
        <v>2</v>
      </c>
      <c r="K53" s="28">
        <v>2</v>
      </c>
      <c r="L53" s="26" t="s">
        <v>2161</v>
      </c>
      <c r="M53" s="26" t="s">
        <v>1809</v>
      </c>
      <c r="N53" s="26" t="s">
        <v>1810</v>
      </c>
      <c r="O53" s="26" t="s">
        <v>2359</v>
      </c>
      <c r="P53" s="26" t="s">
        <v>387</v>
      </c>
      <c r="Q53" s="26">
        <v>2957702794</v>
      </c>
      <c r="R53" s="23">
        <v>28436</v>
      </c>
      <c r="S53" s="23">
        <v>41978</v>
      </c>
      <c r="T53" s="35" t="s">
        <v>388</v>
      </c>
      <c r="U53" s="26"/>
      <c r="V53" s="26" t="s">
        <v>2768</v>
      </c>
      <c r="W53" s="26">
        <v>641</v>
      </c>
      <c r="X53" s="26"/>
      <c r="Y53" s="26" t="s">
        <v>390</v>
      </c>
      <c r="Z53" s="26">
        <v>97370</v>
      </c>
      <c r="AA53" s="26" t="s">
        <v>391</v>
      </c>
      <c r="AB53" s="26" t="s">
        <v>2882</v>
      </c>
      <c r="AC53" s="23">
        <v>43452</v>
      </c>
      <c r="AD53" s="26">
        <v>110.59</v>
      </c>
      <c r="AE53" s="26">
        <v>115.59</v>
      </c>
      <c r="AG53" s="22" t="str">
        <f t="shared" si="1"/>
        <v>EXECUTE [dbo].[PG_CI_OPERADOR] 0, 0, 0, 384, 'MAYORQUIN ROCHA, FRANCISCO JAVIER' , '',0   , 2 , 2, 2,'FRANCISCO JAVIER', 'MAYORQUIN', 'ROCHA' , 'MARF7711075D2', 'MARF771107HSLYCR04', '2957702794', '1977-11-07', '2014-12-05','999 748 0666','','CALLE 60 A','641','','FRACC. SANTA ISABEL','97370','KANASIN','CAMP01059','2018-12-18', 110.59,115.59</v>
      </c>
      <c r="AH53" s="11"/>
    </row>
    <row r="54" spans="1:34" s="10" customFormat="1" x14ac:dyDescent="0.25">
      <c r="A54" s="18"/>
      <c r="B54" s="19">
        <v>0</v>
      </c>
      <c r="C54" s="19">
        <v>0</v>
      </c>
      <c r="D54" s="19">
        <v>0</v>
      </c>
      <c r="E54" s="28">
        <v>385</v>
      </c>
      <c r="F54" s="20" t="str">
        <f t="shared" si="0"/>
        <v>MEDRANO HERNANDEZ, JESUS MANUEL</v>
      </c>
      <c r="G54" s="21"/>
      <c r="H54" s="21">
        <v>0</v>
      </c>
      <c r="I54" s="28">
        <v>1</v>
      </c>
      <c r="J54" s="28">
        <v>2</v>
      </c>
      <c r="K54" s="28">
        <v>2</v>
      </c>
      <c r="L54" s="26" t="s">
        <v>2162</v>
      </c>
      <c r="M54" s="26" t="s">
        <v>1811</v>
      </c>
      <c r="N54" s="26" t="s">
        <v>1713</v>
      </c>
      <c r="O54" s="26" t="s">
        <v>2360</v>
      </c>
      <c r="P54" s="26" t="s">
        <v>395</v>
      </c>
      <c r="Q54" s="26">
        <v>50917539665</v>
      </c>
      <c r="R54" s="23">
        <v>27449</v>
      </c>
      <c r="S54" s="23">
        <v>36770</v>
      </c>
      <c r="T54" s="35"/>
      <c r="U54" s="26"/>
      <c r="V54" s="26" t="s">
        <v>2769</v>
      </c>
      <c r="W54" s="26">
        <v>252</v>
      </c>
      <c r="X54" s="26"/>
      <c r="Y54" s="26" t="s">
        <v>397</v>
      </c>
      <c r="Z54" s="26">
        <v>31134</v>
      </c>
      <c r="AA54" s="26" t="s">
        <v>118</v>
      </c>
      <c r="AB54" s="26" t="s">
        <v>2859</v>
      </c>
      <c r="AC54" s="23">
        <v>42684</v>
      </c>
      <c r="AD54" s="26">
        <v>110.59</v>
      </c>
      <c r="AE54" s="26">
        <v>116.5</v>
      </c>
      <c r="AG54" s="22" t="str">
        <f t="shared" si="1"/>
        <v>EXECUTE [dbo].[PG_CI_OPERADOR] 0, 0, 0, 385, 'MEDRANO HERNANDEZ, JESUS MANUEL' , '',0   , 1 , 2, 2,'JESUS MANUEL', 'MEDRANO', 'HERNANDEZ' , 'MEHJ750224M23', 'MEHJ750224HCHDRS02', '50917539665', '1975-02-24', '2000-09-01','','','ARTURO GOMEZ','252','','VILLA NUEVA','31134','CHIHUAHUA','','2016-11-10', 110.59,116.5</v>
      </c>
      <c r="AH54" s="11"/>
    </row>
    <row r="55" spans="1:34" s="10" customFormat="1" x14ac:dyDescent="0.25">
      <c r="A55" s="18"/>
      <c r="B55" s="19">
        <v>0</v>
      </c>
      <c r="C55" s="19">
        <v>0</v>
      </c>
      <c r="D55" s="19">
        <v>0</v>
      </c>
      <c r="E55" s="28">
        <v>386</v>
      </c>
      <c r="F55" s="20" t="str">
        <f t="shared" si="0"/>
        <v>MEZA TOLEDO, LUIS EDUARDO</v>
      </c>
      <c r="G55" s="21"/>
      <c r="H55" s="21">
        <v>0</v>
      </c>
      <c r="I55" s="28">
        <v>1</v>
      </c>
      <c r="J55" s="28">
        <v>2</v>
      </c>
      <c r="K55" s="28">
        <v>2</v>
      </c>
      <c r="L55" s="26" t="s">
        <v>2163</v>
      </c>
      <c r="M55" s="26" t="s">
        <v>1812</v>
      </c>
      <c r="N55" s="26" t="s">
        <v>1813</v>
      </c>
      <c r="O55" s="26" t="s">
        <v>2361</v>
      </c>
      <c r="P55" s="26" t="s">
        <v>399</v>
      </c>
      <c r="Q55" s="26">
        <v>78967015211</v>
      </c>
      <c r="R55" s="23">
        <v>27916</v>
      </c>
      <c r="S55" s="23">
        <v>41456</v>
      </c>
      <c r="T55" s="35">
        <v>9222204939</v>
      </c>
      <c r="U55" s="26"/>
      <c r="V55" s="26" t="s">
        <v>2770</v>
      </c>
      <c r="W55" s="26">
        <v>38</v>
      </c>
      <c r="X55" s="26"/>
      <c r="Y55" s="26" t="s">
        <v>401</v>
      </c>
      <c r="Z55" s="26">
        <v>68325</v>
      </c>
      <c r="AA55" s="26" t="s">
        <v>339</v>
      </c>
      <c r="AB55" s="26" t="s">
        <v>2883</v>
      </c>
      <c r="AC55" s="23">
        <v>43471</v>
      </c>
      <c r="AD55" s="26">
        <v>110.59</v>
      </c>
      <c r="AE55" s="26">
        <v>115.89</v>
      </c>
      <c r="AG55" s="22" t="str">
        <f t="shared" si="1"/>
        <v>EXECUTE [dbo].[PG_CI_OPERADOR] 0, 0, 0, 386, 'MEZA TOLEDO, LUIS EDUARDO' , '',0   , 1 , 2, 2,'LUIS EDUARDO', 'MEZA', 'TOLEDO' , 'METL760605QM1', 'METL760605HOCZLS00', '78967015211', '1976-06-05', '2013-07-01','9222204939','','LOMAS DE LAS MARIPOSAS','38','','FRACC. LOMAS ALTAS','68325','TUXTEPEC','VER011635','2019-01-06', 110.59,115.89</v>
      </c>
      <c r="AH55" s="11"/>
    </row>
    <row r="56" spans="1:34" s="10" customFormat="1" x14ac:dyDescent="0.25">
      <c r="A56" s="18"/>
      <c r="B56" s="19">
        <v>0</v>
      </c>
      <c r="C56" s="19">
        <v>0</v>
      </c>
      <c r="D56" s="19">
        <v>0</v>
      </c>
      <c r="E56" s="28">
        <v>387</v>
      </c>
      <c r="F56" s="20" t="str">
        <f t="shared" si="0"/>
        <v>MIRANDA ARMENTA, MANUEL REMBERTO</v>
      </c>
      <c r="G56" s="21"/>
      <c r="H56" s="21">
        <v>0</v>
      </c>
      <c r="I56" s="28">
        <v>1</v>
      </c>
      <c r="J56" s="28">
        <v>0</v>
      </c>
      <c r="K56" s="28">
        <v>2</v>
      </c>
      <c r="L56" s="26" t="s">
        <v>2164</v>
      </c>
      <c r="M56" s="26" t="s">
        <v>1814</v>
      </c>
      <c r="N56" s="26" t="s">
        <v>1815</v>
      </c>
      <c r="O56" s="26" t="s">
        <v>1016</v>
      </c>
      <c r="P56" s="26" t="s">
        <v>404</v>
      </c>
      <c r="Q56" s="26">
        <v>24917595498</v>
      </c>
      <c r="R56" s="23">
        <v>27500</v>
      </c>
      <c r="S56" s="23">
        <v>37926</v>
      </c>
      <c r="T56" s="35"/>
      <c r="U56" s="26"/>
      <c r="V56" s="26" t="s">
        <v>2488</v>
      </c>
      <c r="W56" s="26">
        <v>22</v>
      </c>
      <c r="X56" s="26">
        <v>302</v>
      </c>
      <c r="Y56" s="26" t="s">
        <v>406</v>
      </c>
      <c r="Z56" s="26">
        <v>84000</v>
      </c>
      <c r="AA56" s="26" t="s">
        <v>160</v>
      </c>
      <c r="AB56" s="26" t="s">
        <v>2859</v>
      </c>
      <c r="AC56" s="23">
        <v>42684</v>
      </c>
      <c r="AD56" s="26">
        <v>110.59</v>
      </c>
      <c r="AE56" s="26">
        <v>116.35</v>
      </c>
      <c r="AG56" s="22" t="str">
        <f t="shared" si="1"/>
        <v>EXECUTE [dbo].[PG_CI_OPERADOR] 0, 0, 0, 387, 'MIRANDA ARMENTA, MANUEL REMBERTO' , '',0   , 1 , 0, 2,'MANUEL REMBERTO', 'MIRANDA', 'ARMENTA' , 'MIAM7504161V1', 'MIAM750416HSRRRN09', '24917595498', '1975-04-16', '2003-11-01','','','PIRUL','22','302','JARDINES DEL BOSQUE','84000','NOGALES','','2016-11-10', 110.59,116.35</v>
      </c>
      <c r="AH56" s="11"/>
    </row>
    <row r="57" spans="1:34" s="10" customFormat="1" x14ac:dyDescent="0.25">
      <c r="A57" s="18"/>
      <c r="B57" s="19">
        <v>0</v>
      </c>
      <c r="C57" s="19">
        <v>0</v>
      </c>
      <c r="D57" s="19">
        <v>0</v>
      </c>
      <c r="E57" s="28">
        <v>388</v>
      </c>
      <c r="F57" s="20" t="str">
        <f t="shared" si="0"/>
        <v>MOJARRO GONZALEZ, J GUADALUPE</v>
      </c>
      <c r="G57" s="21"/>
      <c r="H57" s="21">
        <v>0</v>
      </c>
      <c r="I57" s="28">
        <v>1</v>
      </c>
      <c r="J57" s="28">
        <v>0</v>
      </c>
      <c r="K57" s="28">
        <v>2</v>
      </c>
      <c r="L57" s="26" t="s">
        <v>2165</v>
      </c>
      <c r="M57" s="26" t="s">
        <v>1817</v>
      </c>
      <c r="N57" s="26" t="s">
        <v>1767</v>
      </c>
      <c r="O57" s="26" t="s">
        <v>2362</v>
      </c>
      <c r="P57" s="26" t="s">
        <v>408</v>
      </c>
      <c r="Q57" s="26">
        <v>55785603493</v>
      </c>
      <c r="R57" s="23">
        <v>20801</v>
      </c>
      <c r="S57" s="23">
        <v>37272</v>
      </c>
      <c r="T57" s="35"/>
      <c r="U57" s="26"/>
      <c r="V57" s="26" t="s">
        <v>2771</v>
      </c>
      <c r="W57" s="26">
        <v>24830</v>
      </c>
      <c r="X57" s="26"/>
      <c r="Y57" s="26" t="s">
        <v>410</v>
      </c>
      <c r="Z57" s="26">
        <v>22237</v>
      </c>
      <c r="AA57" s="26" t="s">
        <v>180</v>
      </c>
      <c r="AB57" s="26" t="s">
        <v>2859</v>
      </c>
      <c r="AC57" s="23">
        <v>42684</v>
      </c>
      <c r="AD57" s="26">
        <v>110.59</v>
      </c>
      <c r="AE57" s="26">
        <v>116.35</v>
      </c>
      <c r="AG57" s="22" t="str">
        <f t="shared" si="1"/>
        <v>EXECUTE [dbo].[PG_CI_OPERADOR] 0, 0, 0, 388, 'MOJARRO GONZALEZ, J GUADALUPE' , '',0   , 1 , 0, 2,'J GUADALUPE', 'MOJARRO', 'GONZALEZ' , 'MOGJ561212UZ1', 'MOGG561212HNTJND00', '55785603493', '1956-12-12', '2002-01-16','','','PIÑA','24830','','FLORIDA 2a SECCION','22237','TIJUANA','','2016-11-10', 110.59,116.35</v>
      </c>
      <c r="AH57" s="11"/>
    </row>
    <row r="58" spans="1:34" s="10" customFormat="1" x14ac:dyDescent="0.25">
      <c r="A58" s="18"/>
      <c r="B58" s="19">
        <v>0</v>
      </c>
      <c r="C58" s="19">
        <v>0</v>
      </c>
      <c r="D58" s="19">
        <v>0</v>
      </c>
      <c r="E58" s="28">
        <v>389</v>
      </c>
      <c r="F58" s="20" t="str">
        <f t="shared" si="0"/>
        <v>MONDACA FELIX, JOSE ALFREDO</v>
      </c>
      <c r="G58" s="21"/>
      <c r="H58" s="21">
        <v>0</v>
      </c>
      <c r="I58" s="28">
        <v>2</v>
      </c>
      <c r="J58" s="28">
        <v>0</v>
      </c>
      <c r="K58" s="28">
        <v>2</v>
      </c>
      <c r="L58" s="26" t="s">
        <v>2166</v>
      </c>
      <c r="M58" s="26" t="s">
        <v>1820</v>
      </c>
      <c r="N58" s="26" t="s">
        <v>1771</v>
      </c>
      <c r="O58" s="26" t="s">
        <v>2363</v>
      </c>
      <c r="P58" s="26" t="s">
        <v>413</v>
      </c>
      <c r="Q58" s="26">
        <v>23916625710</v>
      </c>
      <c r="R58" s="23">
        <v>24469</v>
      </c>
      <c r="S58" s="23">
        <v>41214</v>
      </c>
      <c r="T58" s="35" t="s">
        <v>414</v>
      </c>
      <c r="U58" s="26"/>
      <c r="V58" s="26" t="s">
        <v>2772</v>
      </c>
      <c r="W58" s="26">
        <v>2223</v>
      </c>
      <c r="X58" s="26"/>
      <c r="Y58" s="26" t="s">
        <v>416</v>
      </c>
      <c r="Z58" s="26">
        <v>21270</v>
      </c>
      <c r="AA58" s="26" t="s">
        <v>417</v>
      </c>
      <c r="AB58" s="26" t="s">
        <v>2884</v>
      </c>
      <c r="AC58" s="23">
        <v>43452</v>
      </c>
      <c r="AD58" s="26">
        <v>117.6</v>
      </c>
      <c r="AE58" s="26">
        <v>122.92</v>
      </c>
      <c r="AG58" s="22" t="str">
        <f t="shared" si="1"/>
        <v>EXECUTE [dbo].[PG_CI_OPERADOR] 0, 0, 0, 389, 'MONDACA FELIX, JOSE ALFREDO' , '',0   , 2 , 0, 2,'JOSE ALFREDO', 'MONDACA', 'FELIX' , 'MOFA661228KQ5', 'MOFA661228HSLNLL04', '23916625710', '1966-12-28', '2012-11-01','668 862 5268','','CERRO DE LA SILLA','2223','','VILLAS DE MOMTERREY','21270','GUASAVE','SIN103391','2018-12-18', 117.6,122.92</v>
      </c>
      <c r="AH58" s="11"/>
    </row>
    <row r="59" spans="1:34" s="10" customFormat="1" x14ac:dyDescent="0.25">
      <c r="A59" s="18"/>
      <c r="B59" s="19">
        <v>0</v>
      </c>
      <c r="C59" s="19">
        <v>0</v>
      </c>
      <c r="D59" s="19">
        <v>0</v>
      </c>
      <c r="E59" s="28">
        <v>390</v>
      </c>
      <c r="F59" s="20" t="str">
        <f t="shared" si="0"/>
        <v>MORALES DE, JESUS ARTURO</v>
      </c>
      <c r="G59" s="21"/>
      <c r="H59" s="21">
        <v>0</v>
      </c>
      <c r="I59" s="28">
        <v>1</v>
      </c>
      <c r="J59" s="28">
        <v>2</v>
      </c>
      <c r="K59" s="28">
        <v>2</v>
      </c>
      <c r="L59" s="26" t="s">
        <v>2167</v>
      </c>
      <c r="M59" s="26" t="s">
        <v>1822</v>
      </c>
      <c r="N59" s="26" t="s">
        <v>1823</v>
      </c>
      <c r="O59" s="26" t="s">
        <v>2364</v>
      </c>
      <c r="P59" s="26" t="s">
        <v>420</v>
      </c>
      <c r="Q59" s="26">
        <v>67947502315</v>
      </c>
      <c r="R59" s="23">
        <v>27577</v>
      </c>
      <c r="S59" s="23">
        <v>42237</v>
      </c>
      <c r="T59" s="35">
        <v>7731352054</v>
      </c>
      <c r="U59" s="26"/>
      <c r="V59" s="26" t="s">
        <v>2490</v>
      </c>
      <c r="W59" s="26">
        <v>1</v>
      </c>
      <c r="X59" s="26"/>
      <c r="Y59" s="26" t="s">
        <v>422</v>
      </c>
      <c r="Z59" s="26">
        <v>94780</v>
      </c>
      <c r="AA59" s="26" t="s">
        <v>423</v>
      </c>
      <c r="AB59" s="26" t="s">
        <v>2859</v>
      </c>
      <c r="AC59" s="23">
        <v>42684</v>
      </c>
      <c r="AD59" s="26">
        <v>110.59</v>
      </c>
      <c r="AE59" s="26">
        <v>115.59</v>
      </c>
      <c r="AG59" s="22" t="str">
        <f t="shared" si="1"/>
        <v>EXECUTE [dbo].[PG_CI_OPERADOR] 0, 0, 0, 390, 'MORALES DE, JESUS ARTURO' , '',0   , 1 , 2, 2,'JESUS ARTURO', 'MORALES', 'DE' , 'MOJA750702N21', 'MOJA750702HVZRSR01', '67947502315', '1975-07-02', '2015-08-21','7731352054','','CUAUTEMOC','1','','EMANCIPACIÃ’N OBRERA','94780','HUILOAPAN DE CUAUHTEMOC','','2016-11-10', 110.59,115.59</v>
      </c>
      <c r="AH59" s="11"/>
    </row>
    <row r="60" spans="1:34" s="10" customFormat="1" x14ac:dyDescent="0.25">
      <c r="A60" s="18"/>
      <c r="B60" s="19">
        <v>0</v>
      </c>
      <c r="C60" s="19">
        <v>0</v>
      </c>
      <c r="D60" s="19">
        <v>0</v>
      </c>
      <c r="E60" s="28">
        <v>391</v>
      </c>
      <c r="F60" s="20" t="str">
        <f t="shared" si="0"/>
        <v xml:space="preserve">MORALES MONTOYA, GERARDO </v>
      </c>
      <c r="G60" s="21"/>
      <c r="H60" s="21">
        <v>0</v>
      </c>
      <c r="I60" s="28">
        <v>1</v>
      </c>
      <c r="J60" s="28">
        <v>0</v>
      </c>
      <c r="K60" s="28">
        <v>2</v>
      </c>
      <c r="L60" s="26" t="s">
        <v>2124</v>
      </c>
      <c r="M60" s="26" t="s">
        <v>1822</v>
      </c>
      <c r="N60" s="26" t="s">
        <v>1824</v>
      </c>
      <c r="O60" s="26" t="s">
        <v>2365</v>
      </c>
      <c r="P60" s="26" t="s">
        <v>425</v>
      </c>
      <c r="Q60" s="26">
        <v>96907322794</v>
      </c>
      <c r="R60" s="23">
        <v>26694</v>
      </c>
      <c r="S60" s="23">
        <v>39863</v>
      </c>
      <c r="T60" s="35"/>
      <c r="U60" s="26"/>
      <c r="V60" s="26" t="s">
        <v>2773</v>
      </c>
      <c r="W60" s="26" t="s">
        <v>2491</v>
      </c>
      <c r="X60" s="26" t="s">
        <v>2492</v>
      </c>
      <c r="Y60" s="26" t="s">
        <v>427</v>
      </c>
      <c r="Z60" s="26">
        <v>56589</v>
      </c>
      <c r="AA60" s="26" t="s">
        <v>428</v>
      </c>
      <c r="AB60" s="26" t="s">
        <v>2906</v>
      </c>
      <c r="AC60" s="23">
        <v>43471</v>
      </c>
      <c r="AD60" s="26">
        <v>110.59</v>
      </c>
      <c r="AE60" s="26">
        <v>116.19</v>
      </c>
      <c r="AG60" s="22" t="str">
        <f t="shared" si="1"/>
        <v>EXECUTE [dbo].[PG_CI_OPERADOR] 0, 0, 0, 391, 'MORALES MONTOYA, GERARDO ' , '',0   , 1 , 0, 2,'GERARDO ', 'MORALES', 'MONTOYA' , 'MOMG730130A15', 'MOMG730130HDFRNR06', '96907322794', '1973-01-30', '2009-02-19','','','ALFREDO B. BONFIL','MZ-25','LT-34','DR. JORGE JIMENEZ CANTU','56589','IXTAPALUCA','SLP06001','2019-01-06', 110.59,116.19</v>
      </c>
      <c r="AH60" s="11"/>
    </row>
    <row r="61" spans="1:34" s="10" customFormat="1" x14ac:dyDescent="0.25">
      <c r="A61" s="18"/>
      <c r="B61" s="19">
        <v>0</v>
      </c>
      <c r="C61" s="19">
        <v>0</v>
      </c>
      <c r="D61" s="19">
        <v>0</v>
      </c>
      <c r="E61" s="28">
        <v>392</v>
      </c>
      <c r="F61" s="20" t="str">
        <f t="shared" si="0"/>
        <v xml:space="preserve">MORALES RENDON, JAVIER </v>
      </c>
      <c r="G61" s="21"/>
      <c r="H61" s="21">
        <v>0</v>
      </c>
      <c r="I61" s="28">
        <v>1</v>
      </c>
      <c r="J61" s="28">
        <v>2</v>
      </c>
      <c r="K61" s="28">
        <v>2</v>
      </c>
      <c r="L61" s="26" t="s">
        <v>2168</v>
      </c>
      <c r="M61" s="26" t="s">
        <v>1822</v>
      </c>
      <c r="N61" s="26" t="s">
        <v>1825</v>
      </c>
      <c r="O61" s="26" t="s">
        <v>2366</v>
      </c>
      <c r="P61" s="26" t="s">
        <v>431</v>
      </c>
      <c r="Q61" s="26">
        <v>14816511589</v>
      </c>
      <c r="R61" s="23">
        <v>23867</v>
      </c>
      <c r="S61" s="23">
        <v>41652</v>
      </c>
      <c r="T61" s="35" t="s">
        <v>432</v>
      </c>
      <c r="U61" s="26"/>
      <c r="V61" s="26" t="s">
        <v>2493</v>
      </c>
      <c r="W61" s="26">
        <v>9</v>
      </c>
      <c r="X61" s="26"/>
      <c r="Y61" s="26" t="s">
        <v>434</v>
      </c>
      <c r="Z61" s="26">
        <v>42820</v>
      </c>
      <c r="AA61" s="26" t="s">
        <v>132</v>
      </c>
      <c r="AB61" s="26" t="s">
        <v>2859</v>
      </c>
      <c r="AC61" s="23">
        <v>42684</v>
      </c>
      <c r="AD61" s="26">
        <v>110.59</v>
      </c>
      <c r="AE61" s="26">
        <v>115.59</v>
      </c>
      <c r="AG61" s="22" t="str">
        <f t="shared" si="1"/>
        <v>EXECUTE [dbo].[PG_CI_OPERADOR] 0, 0, 0, 392, 'MORALES RENDON, JAVIER ' , '',0   , 1 , 2, 2,'JAVIER ', 'MORALES', 'RENDON' , 'MORJ650505GA2', 'MORJ650505HQTRNV04', '14816511589', '1965-05-05', '2014-01-13','045 488 119 1542','','TLAZCAN','9','','FRACCIONAMIENTO','42820','TULA DE ALLENDE','','2016-11-10', 110.59,115.59</v>
      </c>
      <c r="AH61" s="11"/>
    </row>
    <row r="62" spans="1:34" s="10" customFormat="1" x14ac:dyDescent="0.25">
      <c r="A62" s="18"/>
      <c r="B62" s="19">
        <v>0</v>
      </c>
      <c r="C62" s="19">
        <v>0</v>
      </c>
      <c r="D62" s="19">
        <v>0</v>
      </c>
      <c r="E62" s="28">
        <v>393</v>
      </c>
      <c r="F62" s="20" t="str">
        <f t="shared" si="0"/>
        <v xml:space="preserve">MUÃ‘OZ HERNANDEZ, ALBERTO </v>
      </c>
      <c r="G62" s="21"/>
      <c r="H62" s="21">
        <v>0</v>
      </c>
      <c r="I62" s="28">
        <v>2</v>
      </c>
      <c r="J62" s="28">
        <v>2</v>
      </c>
      <c r="K62" s="28">
        <v>2</v>
      </c>
      <c r="L62" s="26" t="s">
        <v>2169</v>
      </c>
      <c r="M62" s="26" t="s">
        <v>1826</v>
      </c>
      <c r="N62" s="26" t="s">
        <v>1713</v>
      </c>
      <c r="O62" s="26" t="s">
        <v>2367</v>
      </c>
      <c r="P62" s="26" t="s">
        <v>436</v>
      </c>
      <c r="Q62" s="26">
        <v>1906204035</v>
      </c>
      <c r="R62" s="23">
        <v>22744</v>
      </c>
      <c r="S62" s="23">
        <v>41878</v>
      </c>
      <c r="T62" s="35" t="s">
        <v>437</v>
      </c>
      <c r="U62" s="26"/>
      <c r="V62" s="26" t="s">
        <v>2774</v>
      </c>
      <c r="W62" s="26">
        <v>21</v>
      </c>
      <c r="X62" s="26"/>
      <c r="Y62" s="26" t="s">
        <v>439</v>
      </c>
      <c r="Z62" s="26">
        <v>90260</v>
      </c>
      <c r="AA62" s="26" t="s">
        <v>440</v>
      </c>
      <c r="AB62" s="26" t="s">
        <v>2885</v>
      </c>
      <c r="AC62" s="23">
        <v>43471</v>
      </c>
      <c r="AD62" s="26">
        <v>110.59</v>
      </c>
      <c r="AE62" s="26">
        <v>115.74</v>
      </c>
      <c r="AG62" s="22" t="str">
        <f t="shared" si="1"/>
        <v>EXECUTE [dbo].[PG_CI_OPERADOR] 0, 0, 0, 393, 'MUÃ‘OZ HERNANDEZ, ALBERTO ' , '',0   , 2 , 2, 2,'ALBERTO ', 'MUÃ‘OZ', 'HERNANDEZ' , 'MUHA620408', 'MUHA620408HTLXRL02', '1906204035', '1962-04-08', '2014-08-27','01241 49640 78','','20 DE NOVIEMBRE','21','','LAGUNILLA','90260','TLAXCO','TLAX00147','2019-01-06', 110.59,115.74</v>
      </c>
      <c r="AH62" s="11"/>
    </row>
    <row r="63" spans="1:34" s="10" customFormat="1" x14ac:dyDescent="0.25">
      <c r="A63" s="18"/>
      <c r="B63" s="19">
        <v>0</v>
      </c>
      <c r="C63" s="19">
        <v>0</v>
      </c>
      <c r="D63" s="19">
        <v>0</v>
      </c>
      <c r="E63" s="28">
        <v>394</v>
      </c>
      <c r="F63" s="20" t="str">
        <f t="shared" si="0"/>
        <v>NAVARRO MORA, SERGIO ALEJANDRO</v>
      </c>
      <c r="G63" s="21"/>
      <c r="H63" s="21">
        <v>0</v>
      </c>
      <c r="I63" s="28">
        <v>1</v>
      </c>
      <c r="J63" s="28">
        <v>3</v>
      </c>
      <c r="K63" s="28">
        <v>2</v>
      </c>
      <c r="L63" s="26" t="s">
        <v>2170</v>
      </c>
      <c r="M63" s="26" t="s">
        <v>1770</v>
      </c>
      <c r="N63" s="26" t="s">
        <v>1827</v>
      </c>
      <c r="O63" s="26" t="s">
        <v>2368</v>
      </c>
      <c r="P63" s="26" t="s">
        <v>443</v>
      </c>
      <c r="Q63" s="26">
        <v>6796278353</v>
      </c>
      <c r="R63" s="23">
        <v>23299</v>
      </c>
      <c r="S63" s="23">
        <v>41845</v>
      </c>
      <c r="T63" s="35" t="s">
        <v>444</v>
      </c>
      <c r="U63" s="26"/>
      <c r="V63" s="26" t="s">
        <v>2495</v>
      </c>
      <c r="W63" s="26">
        <v>24</v>
      </c>
      <c r="X63" s="26"/>
      <c r="Y63" s="26" t="s">
        <v>446</v>
      </c>
      <c r="Z63" s="26">
        <v>55600</v>
      </c>
      <c r="AA63" s="26" t="s">
        <v>87</v>
      </c>
      <c r="AB63" s="26" t="s">
        <v>2886</v>
      </c>
      <c r="AC63" s="23">
        <v>43285</v>
      </c>
      <c r="AD63" s="26">
        <v>125.74</v>
      </c>
      <c r="AE63" s="26">
        <v>147.87</v>
      </c>
      <c r="AG63" s="22" t="str">
        <f t="shared" si="1"/>
        <v>EXECUTE [dbo].[PG_CI_OPERADOR] 0, 0, 0, 394, 'NAVARRO MORA, SERGIO ALEJANDRO' , '',0   , 1 , 3, 2,'SERGIO ALEJANDRO', 'NAVARRO', 'MORA' , 'NAMS631015V41', 'NAMS631015HDFVRR06', '6796278353', '1963-10-15', '2014-07-25','55 4020 6710','','AILE','24','','U. HAB. ARBOLADA LOS SAUCES','55600','ZUMPANGO','DF0021591','2018-07-04', 125.74,147.87</v>
      </c>
      <c r="AH63" s="11"/>
    </row>
    <row r="64" spans="1:34" s="10" customFormat="1" x14ac:dyDescent="0.25">
      <c r="A64" s="18"/>
      <c r="B64" s="19">
        <v>0</v>
      </c>
      <c r="C64" s="19">
        <v>0</v>
      </c>
      <c r="D64" s="19">
        <v>0</v>
      </c>
      <c r="E64" s="28">
        <v>395</v>
      </c>
      <c r="F64" s="20" t="str">
        <f t="shared" si="0"/>
        <v xml:space="preserve">NIETO GONZALEZ, VICENTE </v>
      </c>
      <c r="G64" s="21"/>
      <c r="H64" s="21">
        <v>0</v>
      </c>
      <c r="I64" s="28">
        <v>1</v>
      </c>
      <c r="J64" s="28">
        <v>0</v>
      </c>
      <c r="K64" s="28">
        <v>2</v>
      </c>
      <c r="L64" s="26" t="s">
        <v>2171</v>
      </c>
      <c r="M64" s="26" t="s">
        <v>1828</v>
      </c>
      <c r="N64" s="26" t="s">
        <v>1767</v>
      </c>
      <c r="O64" s="26" t="s">
        <v>2369</v>
      </c>
      <c r="P64" s="26" t="s">
        <v>449</v>
      </c>
      <c r="Q64" s="26">
        <v>15826415679</v>
      </c>
      <c r="R64" s="23">
        <v>23448</v>
      </c>
      <c r="S64" s="23">
        <v>38167</v>
      </c>
      <c r="T64" s="35"/>
      <c r="U64" s="26"/>
      <c r="V64" s="26" t="s">
        <v>2775</v>
      </c>
      <c r="W64" s="26">
        <v>94</v>
      </c>
      <c r="X64" s="26"/>
      <c r="Y64" s="26" t="s">
        <v>451</v>
      </c>
      <c r="Z64" s="26">
        <v>62010</v>
      </c>
      <c r="AA64" s="26" t="s">
        <v>452</v>
      </c>
      <c r="AB64" s="26" t="s">
        <v>2887</v>
      </c>
      <c r="AC64" s="23">
        <v>43471</v>
      </c>
      <c r="AD64" s="26">
        <v>110.59</v>
      </c>
      <c r="AE64" s="26">
        <v>116.19</v>
      </c>
      <c r="AG64" s="22" t="str">
        <f t="shared" si="1"/>
        <v>EXECUTE [dbo].[PG_CI_OPERADOR] 0, 0, 0, 395, 'NIETO GONZALEZ, VICENTE ' , '',0   , 1 , 0, 2,'VICENTE ', 'NIETO', 'GONZALEZ' , 'NIGV6403127H5', 'NIGV640312HMCTNC07', '15826415679', '1964-03-12', '2004-06-29','','','ESTADO DE MORELOS','94','','LA PROVINCIANA','62010','CUERNAVACA','MOR000044','2019-01-06', 110.59,116.19</v>
      </c>
      <c r="AH64" s="11"/>
    </row>
    <row r="65" spans="1:34" s="10" customFormat="1" x14ac:dyDescent="0.25">
      <c r="A65" s="18"/>
      <c r="B65" s="19">
        <v>0</v>
      </c>
      <c r="C65" s="19">
        <v>0</v>
      </c>
      <c r="D65" s="19">
        <v>0</v>
      </c>
      <c r="E65" s="28">
        <v>396</v>
      </c>
      <c r="F65" s="20" t="str">
        <f t="shared" si="0"/>
        <v>OLEA GUTIERREZ, JESUS EDEM</v>
      </c>
      <c r="G65" s="21"/>
      <c r="H65" s="21">
        <v>0</v>
      </c>
      <c r="I65" s="28">
        <v>1</v>
      </c>
      <c r="J65" s="28">
        <v>2</v>
      </c>
      <c r="K65" s="28">
        <v>2</v>
      </c>
      <c r="L65" s="26" t="s">
        <v>2172</v>
      </c>
      <c r="M65" s="26" t="s">
        <v>1830</v>
      </c>
      <c r="N65" s="26" t="s">
        <v>1783</v>
      </c>
      <c r="O65" s="26" t="s">
        <v>2370</v>
      </c>
      <c r="P65" s="26" t="s">
        <v>455</v>
      </c>
      <c r="Q65" s="26">
        <v>15998119950</v>
      </c>
      <c r="R65" s="23">
        <v>29763</v>
      </c>
      <c r="S65" s="23">
        <v>42349</v>
      </c>
      <c r="T65" s="35">
        <v>6643517450</v>
      </c>
      <c r="U65" s="26"/>
      <c r="V65" s="26" t="s">
        <v>2776</v>
      </c>
      <c r="W65" s="26">
        <v>7205</v>
      </c>
      <c r="X65" s="26"/>
      <c r="Y65" s="26" t="s">
        <v>457</v>
      </c>
      <c r="Z65" s="26">
        <v>22480</v>
      </c>
      <c r="AA65" s="26" t="s">
        <v>180</v>
      </c>
      <c r="AB65" s="26" t="s">
        <v>2888</v>
      </c>
      <c r="AC65" s="23">
        <v>42475</v>
      </c>
      <c r="AD65" s="26">
        <v>110.59</v>
      </c>
      <c r="AE65" s="26">
        <v>115.59</v>
      </c>
      <c r="AG65" s="22" t="str">
        <f t="shared" si="1"/>
        <v>EXECUTE [dbo].[PG_CI_OPERADOR] 0, 0, 0, 396, 'OLEA GUTIERREZ, JESUS EDEM' , '',0   , 1 , 2, 2,'JESUS EDEM', 'OLEA', 'GUTIERREZ' , 'OEGJ810626A49', 'OEGJ810626HMSLTS00', '15998119950', '1981-06-26', '2015-12-11','6643517450','','PRIVADA MARSELLA','7205','','RESIDENCIAL AGUA CALIENTE','22480','TIJUANA','MOR000967','2016-04-15', 110.59,115.59</v>
      </c>
      <c r="AH65" s="11"/>
    </row>
    <row r="66" spans="1:34" s="10" customFormat="1" x14ac:dyDescent="0.25">
      <c r="A66" s="18"/>
      <c r="B66" s="19">
        <v>0</v>
      </c>
      <c r="C66" s="19">
        <v>0</v>
      </c>
      <c r="D66" s="19">
        <v>0</v>
      </c>
      <c r="E66" s="28">
        <v>397</v>
      </c>
      <c r="F66" s="20" t="str">
        <f t="shared" si="0"/>
        <v>ORTEGA GONZALEZ, RAUL FERNANDO</v>
      </c>
      <c r="G66" s="21"/>
      <c r="H66" s="21">
        <v>0</v>
      </c>
      <c r="I66" s="28">
        <v>1</v>
      </c>
      <c r="J66" s="28">
        <v>2</v>
      </c>
      <c r="K66" s="28">
        <v>2</v>
      </c>
      <c r="L66" s="26" t="s">
        <v>2173</v>
      </c>
      <c r="M66" s="26" t="s">
        <v>1832</v>
      </c>
      <c r="N66" s="26" t="s">
        <v>1767</v>
      </c>
      <c r="O66" s="26" t="s">
        <v>2371</v>
      </c>
      <c r="P66" s="26" t="s">
        <v>460</v>
      </c>
      <c r="Q66" s="26">
        <v>33846535699</v>
      </c>
      <c r="R66" s="23">
        <v>24469</v>
      </c>
      <c r="S66" s="23">
        <v>40903</v>
      </c>
      <c r="T66" s="35" t="s">
        <v>461</v>
      </c>
      <c r="U66" s="26"/>
      <c r="V66" s="26" t="s">
        <v>2496</v>
      </c>
      <c r="W66" s="26">
        <v>7638</v>
      </c>
      <c r="X66" s="26"/>
      <c r="Y66" s="26" t="s">
        <v>463</v>
      </c>
      <c r="Z66" s="26">
        <v>32694</v>
      </c>
      <c r="AA66" s="26" t="s">
        <v>277</v>
      </c>
      <c r="AB66" s="26" t="s">
        <v>2889</v>
      </c>
      <c r="AC66" s="23">
        <v>41420</v>
      </c>
      <c r="AD66" s="26">
        <v>110.59</v>
      </c>
      <c r="AE66" s="26">
        <v>116.07</v>
      </c>
      <c r="AG66" s="22" t="str">
        <f t="shared" si="1"/>
        <v>EXECUTE [dbo].[PG_CI_OPERADOR] 0, 0, 0, 397, 'ORTEGA GONZALEZ, RAUL FERNANDO' , '',0   , 1 , 2, 2,'RAUL FERNANDO', 'ORTEGA', 'GONZALEZ' , 'OEGR661218DP1', 'OEGR661218HCHRNL01', '33846535699', '1966-12-28', '2011-12-26','656 2452969','','NAMBIA','7638','','CAMPESTRE VIRREYES','32694','JUAREZ','CHIH20178','2013-05-26', 110.59,116.07</v>
      </c>
      <c r="AH66" s="11"/>
    </row>
    <row r="67" spans="1:34" s="10" customFormat="1" x14ac:dyDescent="0.25">
      <c r="A67" s="18"/>
      <c r="B67" s="19">
        <v>0</v>
      </c>
      <c r="C67" s="19">
        <v>0</v>
      </c>
      <c r="D67" s="19">
        <v>0</v>
      </c>
      <c r="E67" s="28">
        <v>398</v>
      </c>
      <c r="F67" s="20" t="str">
        <f t="shared" si="0"/>
        <v xml:space="preserve">ORTIZ TRIGUEROS, IGNACIO </v>
      </c>
      <c r="G67" s="21"/>
      <c r="H67" s="21">
        <v>0</v>
      </c>
      <c r="I67" s="28">
        <v>1</v>
      </c>
      <c r="J67" s="28">
        <v>2</v>
      </c>
      <c r="K67" s="28">
        <v>2</v>
      </c>
      <c r="L67" s="26" t="s">
        <v>2127</v>
      </c>
      <c r="M67" s="26" t="s">
        <v>1834</v>
      </c>
      <c r="N67" s="26" t="s">
        <v>1835</v>
      </c>
      <c r="O67" s="26" t="s">
        <v>2372</v>
      </c>
      <c r="P67" s="26" t="s">
        <v>466</v>
      </c>
      <c r="Q67" s="26">
        <v>75836409468</v>
      </c>
      <c r="R67" s="23">
        <v>23566</v>
      </c>
      <c r="S67" s="23">
        <v>41899</v>
      </c>
      <c r="T67" s="35" t="s">
        <v>467</v>
      </c>
      <c r="U67" s="26"/>
      <c r="V67" s="26" t="s">
        <v>2777</v>
      </c>
      <c r="W67" s="26" t="s">
        <v>2498</v>
      </c>
      <c r="X67" s="26" t="s">
        <v>2499</v>
      </c>
      <c r="Y67" s="26" t="s">
        <v>469</v>
      </c>
      <c r="Z67" s="26">
        <v>7140</v>
      </c>
      <c r="AA67" s="26" t="s">
        <v>470</v>
      </c>
      <c r="AB67" s="26" t="s">
        <v>2859</v>
      </c>
      <c r="AC67" s="23">
        <v>42684</v>
      </c>
      <c r="AD67" s="26">
        <v>110.59</v>
      </c>
      <c r="AE67" s="26">
        <v>115.74</v>
      </c>
      <c r="AG67" s="22" t="str">
        <f t="shared" si="1"/>
        <v>EXECUTE [dbo].[PG_CI_OPERADOR] 0, 0, 0, 398, 'ORTIZ TRIGUEROS, IGNACIO ' , '',0   , 1 , 2, 2,'IGNACIO ', 'ORTIZ', 'TRIGUEROS' , 'OITI640708CL9', 'OITI640708HDFRRG02', '75836409468', '1964-07-08', '2014-09-17','5306 1454','','2a. CDA. DE JACARANDAS','MZ-4','LT-2','FORESTAL LAURELES','7140','GUSTAVO A. MADERO','','2016-11-10', 110.59,115.74</v>
      </c>
      <c r="AH67" s="11"/>
    </row>
    <row r="68" spans="1:34" s="10" customFormat="1" x14ac:dyDescent="0.25">
      <c r="A68" s="18"/>
      <c r="B68" s="19">
        <v>0</v>
      </c>
      <c r="C68" s="19">
        <v>0</v>
      </c>
      <c r="D68" s="19">
        <v>0</v>
      </c>
      <c r="E68" s="28">
        <v>400</v>
      </c>
      <c r="F68" s="20" t="str">
        <f t="shared" ref="F68:F92" si="2">CONCATENATE(M68," ",N68,", ",L68)</f>
        <v xml:space="preserve">PARRA MIRAMONTES, GUADALUPE </v>
      </c>
      <c r="G68" s="21"/>
      <c r="H68" s="21">
        <v>0</v>
      </c>
      <c r="I68" s="28">
        <v>1</v>
      </c>
      <c r="J68" s="28">
        <v>0</v>
      </c>
      <c r="K68" s="28">
        <v>2</v>
      </c>
      <c r="L68" s="26" t="s">
        <v>2174</v>
      </c>
      <c r="M68" s="26" t="s">
        <v>1836</v>
      </c>
      <c r="N68" s="26" t="s">
        <v>1837</v>
      </c>
      <c r="O68" s="26" t="s">
        <v>2373</v>
      </c>
      <c r="P68" s="26" t="s">
        <v>473</v>
      </c>
      <c r="Q68" s="26">
        <v>33816275227</v>
      </c>
      <c r="R68" s="23">
        <v>22888</v>
      </c>
      <c r="S68" s="23">
        <v>40725</v>
      </c>
      <c r="T68" s="35" t="s">
        <v>474</v>
      </c>
      <c r="U68" s="26"/>
      <c r="V68" s="26" t="s">
        <v>2781</v>
      </c>
      <c r="W68" s="26">
        <v>5596</v>
      </c>
      <c r="X68" s="26"/>
      <c r="Y68" s="26" t="s">
        <v>476</v>
      </c>
      <c r="Z68" s="26">
        <v>32698</v>
      </c>
      <c r="AA68" s="26" t="s">
        <v>117</v>
      </c>
      <c r="AB68" s="26" t="s">
        <v>2859</v>
      </c>
      <c r="AC68" s="23">
        <v>42684</v>
      </c>
      <c r="AD68" s="26">
        <v>110.59</v>
      </c>
      <c r="AE68" s="26">
        <v>116.19</v>
      </c>
      <c r="AG68" s="22" t="str">
        <f t="shared" ref="AG68:AG92" si="3">CONCATENATE($AJ$1,E68,", '",F68,"' , '",G68,"',",H68,"   , ",I68," , ",J68,", ",K68,",'",L68,"', '",M68,"', '",N68,"' , '",O68,"', '",P68,"', '",Q68,"', '",TEXT(R68,"AAAA-MM-DD"),"', '",TEXT(S68,"AAAA-MM-DD"),"','", T68,"','",U68,"','",V68,"','",W68,"','",X68,"','",Y68,"','",Z68,"','",AA68,"','",AB68,"','",TEXT(AC68,"AAAA-MM-DD"),"', ",AD68,",",AE68)</f>
        <v>EXECUTE [dbo].[PG_CI_OPERADOR] 0, 0, 0, 400, 'PARRA MIRAMONTES, GUADALUPE ' , '',0   , 1 , 0, 2,'GUADALUPE ', 'PARRA', 'MIRAMONTES' , 'PAMG620830HCA', 'PAMG620830HCHRRD09', '33816275227', '1962-08-30', '2011-07-01','656 161 7980','','PINGÜICA','5596','','INF. AMPLIACION AUROPUERTO','32698','CD. JUAREZ','','2016-11-10', 110.59,116.19</v>
      </c>
      <c r="AH68" s="11"/>
    </row>
    <row r="69" spans="1:34" s="10" customFormat="1" x14ac:dyDescent="0.25">
      <c r="A69" s="18"/>
      <c r="B69" s="19">
        <v>0</v>
      </c>
      <c r="C69" s="19">
        <v>0</v>
      </c>
      <c r="D69" s="19">
        <v>0</v>
      </c>
      <c r="E69" s="28">
        <v>401</v>
      </c>
      <c r="F69" s="20" t="str">
        <f t="shared" si="2"/>
        <v>PEREZ MENDEZ, JOSE GUADALUPE</v>
      </c>
      <c r="G69" s="21"/>
      <c r="H69" s="21">
        <v>0</v>
      </c>
      <c r="I69" s="28">
        <v>1</v>
      </c>
      <c r="J69" s="28">
        <v>0</v>
      </c>
      <c r="K69" s="28">
        <v>2</v>
      </c>
      <c r="L69" s="26" t="s">
        <v>2175</v>
      </c>
      <c r="M69" s="26" t="s">
        <v>1838</v>
      </c>
      <c r="N69" s="26" t="s">
        <v>1839</v>
      </c>
      <c r="O69" s="26" t="s">
        <v>2374</v>
      </c>
      <c r="P69" s="26" t="s">
        <v>478</v>
      </c>
      <c r="Q69" s="26">
        <v>33816440821</v>
      </c>
      <c r="R69" s="23">
        <v>23142</v>
      </c>
      <c r="S69" s="23">
        <v>34710</v>
      </c>
      <c r="T69" s="35"/>
      <c r="U69" s="26"/>
      <c r="V69" s="26" t="s">
        <v>2500</v>
      </c>
      <c r="W69" s="26">
        <v>6218</v>
      </c>
      <c r="X69" s="26"/>
      <c r="Y69" s="26" t="s">
        <v>480</v>
      </c>
      <c r="Z69" s="26">
        <v>32690</v>
      </c>
      <c r="AA69" s="26" t="s">
        <v>117</v>
      </c>
      <c r="AB69" s="26" t="s">
        <v>2859</v>
      </c>
      <c r="AC69" s="23">
        <v>42684</v>
      </c>
      <c r="AD69" s="26">
        <v>110.59</v>
      </c>
      <c r="AE69" s="26">
        <v>116.5</v>
      </c>
      <c r="AG69" s="22" t="str">
        <f t="shared" si="3"/>
        <v>EXECUTE [dbo].[PG_CI_OPERADOR] 0, 0, 0, 401, 'PEREZ MENDEZ, JOSE GUADALUPE' , '',0   , 1 , 0, 2,'JOSE GUADALUPE', 'PEREZ', 'MENDEZ' , 'PEMG630511', 'PEMG630511HCHRND02', '33816440821', '1963-05-11', '1995-01-11','','','SAUCILLO','6218','','NUEVO HIPODROMO','32690','CD. JUAREZ','','2016-11-10', 110.59,116.5</v>
      </c>
      <c r="AH69" s="11"/>
    </row>
    <row r="70" spans="1:34" s="10" customFormat="1" x14ac:dyDescent="0.25">
      <c r="A70" s="18"/>
      <c r="B70" s="19">
        <v>0</v>
      </c>
      <c r="C70" s="19">
        <v>0</v>
      </c>
      <c r="D70" s="19">
        <v>0</v>
      </c>
      <c r="E70" s="28">
        <v>402</v>
      </c>
      <c r="F70" s="20" t="str">
        <f t="shared" si="2"/>
        <v xml:space="preserve">QUINTANA ESCOBAR, PEDRO </v>
      </c>
      <c r="G70" s="21"/>
      <c r="H70" s="21">
        <v>0</v>
      </c>
      <c r="I70" s="28">
        <v>1</v>
      </c>
      <c r="J70" s="28">
        <v>0</v>
      </c>
      <c r="K70" s="28">
        <v>2</v>
      </c>
      <c r="L70" s="26" t="s">
        <v>2176</v>
      </c>
      <c r="M70" s="26" t="s">
        <v>1806</v>
      </c>
      <c r="N70" s="26" t="s">
        <v>1840</v>
      </c>
      <c r="O70" s="26" t="s">
        <v>2375</v>
      </c>
      <c r="P70" s="26" t="s">
        <v>482</v>
      </c>
      <c r="Q70" s="26">
        <v>67018106095</v>
      </c>
      <c r="R70" s="23">
        <v>29906</v>
      </c>
      <c r="S70" s="23">
        <v>39981</v>
      </c>
      <c r="T70" s="35">
        <v>44551012559</v>
      </c>
      <c r="U70" s="26"/>
      <c r="V70" s="26" t="s">
        <v>2778</v>
      </c>
      <c r="W70" s="26">
        <v>19</v>
      </c>
      <c r="X70" s="26"/>
      <c r="Y70" s="26" t="s">
        <v>484</v>
      </c>
      <c r="Z70" s="26">
        <v>56240</v>
      </c>
      <c r="AA70" s="26" t="s">
        <v>373</v>
      </c>
      <c r="AB70" s="26" t="s">
        <v>2859</v>
      </c>
      <c r="AC70" s="23">
        <v>42684</v>
      </c>
      <c r="AD70" s="26">
        <v>110.59</v>
      </c>
      <c r="AE70" s="26">
        <v>116.19</v>
      </c>
      <c r="AG70" s="22" t="str">
        <f t="shared" si="3"/>
        <v>EXECUTE [dbo].[PG_CI_OPERADOR] 0, 0, 0, 402, 'QUINTANA ESCOBAR, PEDRO ' , '',0   , 1 , 0, 2,'PEDRO ', 'QUINTANA', 'ESCOBAR' , 'QUEP811116NA5', 'QUEP811116HMCNSD09', '67018106095', '1981-11-16', '2009-06-17','44551012559','','BENITO JUAREZ','19','','SAN JOAQUIN COAPANGO','56240','TEXCOCO','','2016-11-10', 110.59,116.19</v>
      </c>
      <c r="AH70" s="11"/>
    </row>
    <row r="71" spans="1:34" s="10" customFormat="1" x14ac:dyDescent="0.25">
      <c r="A71" s="18"/>
      <c r="B71" s="19">
        <v>0</v>
      </c>
      <c r="C71" s="19">
        <v>0</v>
      </c>
      <c r="D71" s="19">
        <v>0</v>
      </c>
      <c r="E71" s="28">
        <v>403</v>
      </c>
      <c r="F71" s="20" t="str">
        <f t="shared" si="2"/>
        <v>RAMIREZ QUINTANA, JOSE IVAN</v>
      </c>
      <c r="G71" s="21"/>
      <c r="H71" s="21">
        <v>0</v>
      </c>
      <c r="I71" s="28">
        <v>1</v>
      </c>
      <c r="J71" s="28">
        <v>2</v>
      </c>
      <c r="K71" s="28">
        <v>2</v>
      </c>
      <c r="L71" s="26" t="s">
        <v>2177</v>
      </c>
      <c r="M71" s="26" t="s">
        <v>1724</v>
      </c>
      <c r="N71" s="26" t="s">
        <v>1806</v>
      </c>
      <c r="O71" s="26" t="s">
        <v>2376</v>
      </c>
      <c r="P71" s="26" t="s">
        <v>486</v>
      </c>
      <c r="Q71" s="26">
        <v>96018107019</v>
      </c>
      <c r="R71" s="23">
        <v>29850</v>
      </c>
      <c r="S71" s="23">
        <v>42238</v>
      </c>
      <c r="T71" s="35" t="s">
        <v>487</v>
      </c>
      <c r="U71" s="26"/>
      <c r="V71" s="26" t="s">
        <v>230</v>
      </c>
      <c r="W71" s="26">
        <v>16</v>
      </c>
      <c r="X71" s="26"/>
      <c r="Y71" s="26" t="s">
        <v>489</v>
      </c>
      <c r="Z71" s="26">
        <v>56243</v>
      </c>
      <c r="AA71" s="26" t="s">
        <v>373</v>
      </c>
      <c r="AB71" s="26" t="s">
        <v>2859</v>
      </c>
      <c r="AC71" s="23">
        <v>42684</v>
      </c>
      <c r="AD71" s="26">
        <v>110.59</v>
      </c>
      <c r="AE71" s="26">
        <v>115.59</v>
      </c>
      <c r="AG71" s="22" t="str">
        <f t="shared" si="3"/>
        <v>EXECUTE [dbo].[PG_CI_OPERADOR] 0, 0, 0, 403, 'RAMIREZ QUINTANA, JOSE IVAN' , '',0   , 1 , 2, 2,'JOSE IVAN', 'RAMIREZ', 'QUINTANA' , 'RAQI810921', 'RAQI810921HDFMNV06', '96018107019', '1981-09-21', '2015-08-22','01595 232052','','MORELOS','16','','SAN JOAQUIN','56243','TEXCOCO','','2016-11-10', 110.59,115.59</v>
      </c>
      <c r="AH71" s="11"/>
    </row>
    <row r="72" spans="1:34" s="10" customFormat="1" x14ac:dyDescent="0.25">
      <c r="A72" s="18"/>
      <c r="B72" s="19">
        <v>0</v>
      </c>
      <c r="C72" s="19">
        <v>0</v>
      </c>
      <c r="D72" s="19">
        <v>0</v>
      </c>
      <c r="E72" s="28">
        <v>404</v>
      </c>
      <c r="F72" s="20" t="str">
        <f t="shared" si="2"/>
        <v xml:space="preserve">RICOY VERA, ALVARO </v>
      </c>
      <c r="G72" s="21"/>
      <c r="H72" s="21">
        <v>0</v>
      </c>
      <c r="I72" s="28">
        <v>1</v>
      </c>
      <c r="J72" s="28">
        <v>2</v>
      </c>
      <c r="K72" s="28">
        <v>2</v>
      </c>
      <c r="L72" s="26" t="s">
        <v>2178</v>
      </c>
      <c r="M72" s="26" t="s">
        <v>1843</v>
      </c>
      <c r="N72" s="26" t="s">
        <v>1844</v>
      </c>
      <c r="O72" s="26" t="s">
        <v>2377</v>
      </c>
      <c r="P72" s="26" t="s">
        <v>491</v>
      </c>
      <c r="Q72" s="26">
        <v>32886917957</v>
      </c>
      <c r="R72" s="23">
        <v>25365</v>
      </c>
      <c r="S72" s="23">
        <v>41894</v>
      </c>
      <c r="T72" s="35" t="s">
        <v>492</v>
      </c>
      <c r="U72" s="26"/>
      <c r="V72" s="26" t="s">
        <v>2779</v>
      </c>
      <c r="W72" s="26">
        <v>29</v>
      </c>
      <c r="X72" s="26"/>
      <c r="Y72" s="26" t="s">
        <v>494</v>
      </c>
      <c r="Z72" s="26">
        <v>54190</v>
      </c>
      <c r="AA72" s="26" t="s">
        <v>125</v>
      </c>
      <c r="AB72" s="26" t="s">
        <v>2859</v>
      </c>
      <c r="AC72" s="23">
        <v>42684</v>
      </c>
      <c r="AD72" s="26">
        <v>110.59</v>
      </c>
      <c r="AE72" s="26">
        <v>115.74</v>
      </c>
      <c r="AG72" s="22" t="str">
        <f t="shared" si="3"/>
        <v>EXECUTE [dbo].[PG_CI_OPERADOR] 0, 0, 0, 404, 'RICOY VERA, ALVARO ' , '',0   , 1 , 2, 2,'ALVARO ', 'RICOY', 'VERA' , 'RIVA6906117AA', 'RIVA690611HOCCRL04', '32886917957', '1969-06-11', '2014-09-12','8283-2552','','AV. NECAXA','29','','COL. DIVISION DEL NORTE','54190','TLALNEPANTLA','','2016-11-10', 110.59,115.74</v>
      </c>
      <c r="AH72" s="11"/>
    </row>
    <row r="73" spans="1:34" s="10" customFormat="1" x14ac:dyDescent="0.25">
      <c r="A73" s="18"/>
      <c r="B73" s="19">
        <v>0</v>
      </c>
      <c r="C73" s="19">
        <v>0</v>
      </c>
      <c r="D73" s="19">
        <v>0</v>
      </c>
      <c r="E73" s="28">
        <v>405</v>
      </c>
      <c r="F73" s="20" t="str">
        <f t="shared" si="2"/>
        <v xml:space="preserve">RIOS MONTALVO, GABRIEL </v>
      </c>
      <c r="G73" s="21"/>
      <c r="H73" s="21">
        <v>0</v>
      </c>
      <c r="I73" s="28">
        <v>1</v>
      </c>
      <c r="J73" s="28">
        <v>0</v>
      </c>
      <c r="K73" s="28">
        <v>2</v>
      </c>
      <c r="L73" s="26" t="s">
        <v>2179</v>
      </c>
      <c r="M73" s="26" t="s">
        <v>1846</v>
      </c>
      <c r="N73" s="26" t="s">
        <v>1847</v>
      </c>
      <c r="O73" s="26" t="s">
        <v>2378</v>
      </c>
      <c r="P73" s="26" t="s">
        <v>496</v>
      </c>
      <c r="Q73" s="26">
        <v>75048679601</v>
      </c>
      <c r="R73" s="23">
        <v>31641</v>
      </c>
      <c r="S73" s="23">
        <v>40471</v>
      </c>
      <c r="T73" s="35" t="s">
        <v>497</v>
      </c>
      <c r="U73" s="26"/>
      <c r="V73" s="26" t="s">
        <v>2780</v>
      </c>
      <c r="W73" s="26">
        <v>53</v>
      </c>
      <c r="X73" s="26"/>
      <c r="Y73" s="26" t="s">
        <v>499</v>
      </c>
      <c r="Z73" s="26">
        <v>45019</v>
      </c>
      <c r="AA73" s="26" t="s">
        <v>500</v>
      </c>
      <c r="AB73" s="26" t="s">
        <v>2859</v>
      </c>
      <c r="AC73" s="23">
        <v>42684</v>
      </c>
      <c r="AD73" s="26">
        <v>110.59</v>
      </c>
      <c r="AE73" s="26">
        <v>116.19</v>
      </c>
      <c r="AG73" s="22" t="str">
        <f t="shared" si="3"/>
        <v>EXECUTE [dbo].[PG_CI_OPERADOR] 0, 0, 0, 405, 'RIOS MONTALVO, GABRIEL ' , '',0   , 1 , 0, 2,'GABRIEL ', 'RIOS', 'MONTALVO' , 'RIMG860817NX0', 'RIMG860817HJCSNB06', '75048679601', '1986-08-17', '2010-10-20','14911315   04433 14021208','','VICTORIANO NUÑEZ','53','','VICTOR HUGO','45019','GUADALAJARA','','2016-11-10', 110.59,116.19</v>
      </c>
      <c r="AH73" s="11"/>
    </row>
    <row r="74" spans="1:34" s="10" customFormat="1" x14ac:dyDescent="0.25">
      <c r="A74" s="18"/>
      <c r="B74" s="19">
        <v>0</v>
      </c>
      <c r="C74" s="19">
        <v>0</v>
      </c>
      <c r="D74" s="19">
        <v>0</v>
      </c>
      <c r="E74" s="28">
        <v>406</v>
      </c>
      <c r="F74" s="20" t="str">
        <f t="shared" si="2"/>
        <v xml:space="preserve">RIOS SALINAS, RAUL </v>
      </c>
      <c r="G74" s="21"/>
      <c r="H74" s="21">
        <v>0</v>
      </c>
      <c r="I74" s="28">
        <v>1</v>
      </c>
      <c r="J74" s="28">
        <v>0</v>
      </c>
      <c r="K74" s="28">
        <v>2</v>
      </c>
      <c r="L74" s="26" t="s">
        <v>2180</v>
      </c>
      <c r="M74" s="26" t="s">
        <v>1846</v>
      </c>
      <c r="N74" s="26" t="s">
        <v>1848</v>
      </c>
      <c r="O74" s="26" t="s">
        <v>2379</v>
      </c>
      <c r="P74" s="26" t="s">
        <v>502</v>
      </c>
      <c r="Q74" s="26">
        <v>33764502820</v>
      </c>
      <c r="R74" s="23">
        <v>16486</v>
      </c>
      <c r="S74" s="23">
        <v>36179</v>
      </c>
      <c r="T74" s="35"/>
      <c r="U74" s="26"/>
      <c r="V74" s="26" t="s">
        <v>503</v>
      </c>
      <c r="W74" s="26">
        <v>24</v>
      </c>
      <c r="X74" s="26"/>
      <c r="Y74" s="26" t="s">
        <v>504</v>
      </c>
      <c r="Z74" s="26">
        <v>84259</v>
      </c>
      <c r="AA74" s="26" t="s">
        <v>505</v>
      </c>
      <c r="AB74" s="26" t="s">
        <v>2859</v>
      </c>
      <c r="AC74" s="23">
        <v>42684</v>
      </c>
      <c r="AD74" s="26">
        <v>110.59</v>
      </c>
      <c r="AE74" s="26">
        <v>116.5</v>
      </c>
      <c r="AG74" s="22" t="str">
        <f t="shared" si="3"/>
        <v>EXECUTE [dbo].[PG_CI_OPERADOR] 0, 0, 0, 406, 'RIOS SALINAS, RAUL ' , '',0   , 1 , 0, 2,'RAUL ', 'RIOS', 'SALINAS' , 'RISR450218LAA', 'RISR450218HCHSLL07', '33764502820', '1945-02-18', '1999-01-19','','','AV. INDUSTRIAL No. 24','24','','EJIDAL','84259','AGUA PRIETA','','2016-11-10', 110.59,116.5</v>
      </c>
      <c r="AH74" s="11"/>
    </row>
    <row r="75" spans="1:34" s="10" customFormat="1" x14ac:dyDescent="0.25">
      <c r="A75" s="18"/>
      <c r="B75" s="19">
        <v>0</v>
      </c>
      <c r="C75" s="19">
        <v>0</v>
      </c>
      <c r="D75" s="19">
        <v>0</v>
      </c>
      <c r="E75" s="28">
        <v>407</v>
      </c>
      <c r="F75" s="20" t="str">
        <f t="shared" si="2"/>
        <v xml:space="preserve">RIVERA LOPEZ, JUAN </v>
      </c>
      <c r="G75" s="21"/>
      <c r="H75" s="21">
        <v>0</v>
      </c>
      <c r="I75" s="28">
        <v>1</v>
      </c>
      <c r="J75" s="28">
        <v>0</v>
      </c>
      <c r="K75" s="28">
        <v>2</v>
      </c>
      <c r="L75" s="26" t="s">
        <v>2132</v>
      </c>
      <c r="M75" s="26" t="s">
        <v>1849</v>
      </c>
      <c r="N75" s="26" t="s">
        <v>1850</v>
      </c>
      <c r="O75" s="26" t="s">
        <v>2380</v>
      </c>
      <c r="P75" s="26" t="s">
        <v>507</v>
      </c>
      <c r="Q75" s="26">
        <v>61896202803</v>
      </c>
      <c r="R75" s="23">
        <v>22774</v>
      </c>
      <c r="S75" s="23">
        <v>38006</v>
      </c>
      <c r="T75" s="35"/>
      <c r="U75" s="26"/>
      <c r="V75" s="26" t="s">
        <v>2782</v>
      </c>
      <c r="W75" s="26">
        <v>11</v>
      </c>
      <c r="X75" s="26"/>
      <c r="Y75" s="26" t="s">
        <v>509</v>
      </c>
      <c r="Z75" s="26">
        <v>39350</v>
      </c>
      <c r="AA75" s="26" t="s">
        <v>192</v>
      </c>
      <c r="AB75" s="26" t="s">
        <v>510</v>
      </c>
      <c r="AC75" s="23">
        <v>42007</v>
      </c>
      <c r="AD75" s="26">
        <v>110.59</v>
      </c>
      <c r="AE75" s="26">
        <v>116.35</v>
      </c>
      <c r="AG75" s="22" t="str">
        <f t="shared" si="3"/>
        <v>EXECUTE [dbo].[PG_CI_OPERADOR] 0, 0, 0, 407, 'RIVERA LOPEZ, JUAN ' , '',0   , 1 , 0, 2,'JUAN ', 'RIVERA', 'LOPEZ' , 'RILJ6205087Z6', 'RILJ620508HVZVPN03', '61896202803', '1962-05-08', '2004-01-20','','','ANDADOR 15 DE NOVIEMBRE','11','','13 DE JUNIO','39350','ACAPULCO','VER117238','2015-01-03', 110.59,116.35</v>
      </c>
      <c r="AH75" s="11"/>
    </row>
    <row r="76" spans="1:34" s="10" customFormat="1" x14ac:dyDescent="0.25">
      <c r="A76" s="18"/>
      <c r="B76" s="19">
        <v>0</v>
      </c>
      <c r="C76" s="19">
        <v>0</v>
      </c>
      <c r="D76" s="19">
        <v>0</v>
      </c>
      <c r="E76" s="28">
        <v>408</v>
      </c>
      <c r="F76" s="20" t="str">
        <f t="shared" si="2"/>
        <v xml:space="preserve">RODRIGUEZ SOTELO, UBALDO </v>
      </c>
      <c r="G76" s="21"/>
      <c r="H76" s="21">
        <v>0</v>
      </c>
      <c r="I76" s="28">
        <v>2</v>
      </c>
      <c r="J76" s="28">
        <v>2</v>
      </c>
      <c r="K76" s="28">
        <v>2</v>
      </c>
      <c r="L76" s="26" t="s">
        <v>2181</v>
      </c>
      <c r="M76" s="26" t="s">
        <v>1718</v>
      </c>
      <c r="N76" s="26" t="s">
        <v>1851</v>
      </c>
      <c r="O76" s="26" t="s">
        <v>2381</v>
      </c>
      <c r="P76" s="26" t="s">
        <v>512</v>
      </c>
      <c r="Q76" s="26">
        <v>33806058922</v>
      </c>
      <c r="R76" s="23">
        <v>22071</v>
      </c>
      <c r="S76" s="23">
        <v>41612</v>
      </c>
      <c r="T76" s="35" t="s">
        <v>513</v>
      </c>
      <c r="U76" s="26"/>
      <c r="V76" s="26" t="s">
        <v>2783</v>
      </c>
      <c r="W76" s="26">
        <v>15706</v>
      </c>
      <c r="X76" s="26"/>
      <c r="Y76" s="26" t="s">
        <v>515</v>
      </c>
      <c r="Z76" s="26">
        <v>31125</v>
      </c>
      <c r="AA76" s="26" t="s">
        <v>118</v>
      </c>
      <c r="AB76" s="26" t="s">
        <v>2890</v>
      </c>
      <c r="AC76" s="23">
        <v>43270</v>
      </c>
      <c r="AD76" s="26">
        <v>110.59</v>
      </c>
      <c r="AE76" s="26">
        <v>115.59</v>
      </c>
      <c r="AG76" s="22" t="str">
        <f t="shared" si="3"/>
        <v>EXECUTE [dbo].[PG_CI_OPERADOR] 0, 0, 0, 408, 'RODRIGUEZ SOTELO, UBALDO ' , '',0   , 2 , 2, 2,'UBALDO ', 'RODRIGUEZ', 'SOTELO' , 'ROSU600604858', 'ROSU600604HCHDTB06', '33806058922', '1960-06-04', '2013-12-04','614 258 5848','','PASEOS DE BOCOYNA','15706','','PASEOS DE CHIHUAHUA','31125','CHIHUAHUA','CHIH10474','2018-06-19', 110.59,115.59</v>
      </c>
      <c r="AH76" s="11"/>
    </row>
    <row r="77" spans="1:34" s="10" customFormat="1" x14ac:dyDescent="0.25">
      <c r="A77" s="18"/>
      <c r="B77" s="19">
        <v>0</v>
      </c>
      <c r="C77" s="19">
        <v>0</v>
      </c>
      <c r="D77" s="19">
        <v>0</v>
      </c>
      <c r="E77" s="28">
        <v>409</v>
      </c>
      <c r="F77" s="20" t="str">
        <f t="shared" si="2"/>
        <v>ROJAS RAMOS, LINO BENJAMIN</v>
      </c>
      <c r="G77" s="21"/>
      <c r="H77" s="21">
        <v>0</v>
      </c>
      <c r="I77" s="28">
        <v>2</v>
      </c>
      <c r="J77" s="28">
        <v>2</v>
      </c>
      <c r="K77" s="28">
        <v>2</v>
      </c>
      <c r="L77" s="26" t="s">
        <v>2182</v>
      </c>
      <c r="M77" s="26" t="s">
        <v>1853</v>
      </c>
      <c r="N77" s="26" t="s">
        <v>1854</v>
      </c>
      <c r="O77" s="26" t="s">
        <v>2382</v>
      </c>
      <c r="P77" s="26" t="s">
        <v>518</v>
      </c>
      <c r="Q77" s="26">
        <v>6735608371</v>
      </c>
      <c r="R77" s="23">
        <v>20721</v>
      </c>
      <c r="S77" s="23">
        <v>41670</v>
      </c>
      <c r="T77" s="35" t="s">
        <v>519</v>
      </c>
      <c r="U77" s="26"/>
      <c r="V77" s="26" t="s">
        <v>2501</v>
      </c>
      <c r="W77" s="26" t="s">
        <v>2502</v>
      </c>
      <c r="X77" s="26" t="s">
        <v>2503</v>
      </c>
      <c r="Y77" s="26" t="s">
        <v>521</v>
      </c>
      <c r="Z77" s="26">
        <v>55600</v>
      </c>
      <c r="AA77" s="26" t="s">
        <v>87</v>
      </c>
      <c r="AB77" s="26" t="s">
        <v>2891</v>
      </c>
      <c r="AC77" s="23">
        <v>43867</v>
      </c>
      <c r="AD77" s="26">
        <v>117.6</v>
      </c>
      <c r="AE77" s="26">
        <v>122.92</v>
      </c>
      <c r="AG77" s="22" t="str">
        <f t="shared" si="3"/>
        <v>EXECUTE [dbo].[PG_CI_OPERADOR] 0, 0, 0, 409, 'ROJAS RAMOS, LINO BENJAMIN' , '',0   , 2 , 2, 2,'LINO BENJAMIN', 'ROJAS', 'RAMOS' , 'RORL560923QM9', 'RORL560923HPLJMN08', '6735608371', '1956-09-23', '2014-01-31','55 3308 9888','','GAVIOTAS','MZ-23','LT-18','FRACC. ZUMPANGO','55600','ZUMPANGO','EDOM09359','2020-02-06', 117.6,122.92</v>
      </c>
      <c r="AH77" s="11"/>
    </row>
    <row r="78" spans="1:34" s="10" customFormat="1" x14ac:dyDescent="0.25">
      <c r="A78" s="18"/>
      <c r="B78" s="19">
        <v>0</v>
      </c>
      <c r="C78" s="19">
        <v>0</v>
      </c>
      <c r="D78" s="19">
        <v>0</v>
      </c>
      <c r="E78" s="28">
        <v>410</v>
      </c>
      <c r="F78" s="20" t="str">
        <f t="shared" si="2"/>
        <v xml:space="preserve">RONQUILLO OCHOA, GUSTAVO </v>
      </c>
      <c r="G78" s="21"/>
      <c r="H78" s="21">
        <v>0</v>
      </c>
      <c r="I78" s="28">
        <v>2</v>
      </c>
      <c r="J78" s="28">
        <v>2</v>
      </c>
      <c r="K78" s="28">
        <v>2</v>
      </c>
      <c r="L78" s="26" t="s">
        <v>2183</v>
      </c>
      <c r="M78" s="26" t="s">
        <v>1857</v>
      </c>
      <c r="N78" s="26" t="s">
        <v>1781</v>
      </c>
      <c r="O78" s="26" t="s">
        <v>2383</v>
      </c>
      <c r="P78" s="26" t="s">
        <v>524</v>
      </c>
      <c r="Q78" s="26">
        <v>78916921253</v>
      </c>
      <c r="R78" s="23">
        <v>25464</v>
      </c>
      <c r="S78" s="23">
        <v>41862</v>
      </c>
      <c r="T78" s="35"/>
      <c r="U78" s="26"/>
      <c r="V78" s="26" t="s">
        <v>2784</v>
      </c>
      <c r="W78" s="26">
        <v>36</v>
      </c>
      <c r="X78" s="26"/>
      <c r="Y78" s="26" t="s">
        <v>526</v>
      </c>
      <c r="Z78" s="26">
        <v>90208</v>
      </c>
      <c r="AA78" s="26" t="s">
        <v>348</v>
      </c>
      <c r="AB78" s="26" t="s">
        <v>2859</v>
      </c>
      <c r="AC78" s="23">
        <v>42901</v>
      </c>
      <c r="AD78" s="26">
        <v>110.59</v>
      </c>
      <c r="AE78" s="26">
        <v>115.74</v>
      </c>
      <c r="AG78" s="22" t="str">
        <f t="shared" si="3"/>
        <v>EXECUTE [dbo].[PG_CI_OPERADOR] 0, 0, 0, 410, 'RONQUILLO OCHOA, GUSTAVO ' , '',0   , 2 , 2, 2,'GUSTAVO ', 'RONQUILLO', 'OCHOA' , 'ROOG690918', 'ROOG690918HVZNCS03', '78916921253', '1969-09-18', '2014-08-11','','','PROLONGACION JUAREZ','36','','ALFONSO ESPEJEL','90208','CALPULALPAN','','2017-06-15', 110.59,115.74</v>
      </c>
      <c r="AH78" s="11"/>
    </row>
    <row r="79" spans="1:34" s="10" customFormat="1" x14ac:dyDescent="0.25">
      <c r="A79" s="18"/>
      <c r="B79" s="19">
        <v>0</v>
      </c>
      <c r="C79" s="19">
        <v>0</v>
      </c>
      <c r="D79" s="19">
        <v>0</v>
      </c>
      <c r="E79" s="28">
        <v>411</v>
      </c>
      <c r="F79" s="20" t="str">
        <f t="shared" si="2"/>
        <v xml:space="preserve">ROSAS CRUZ, GERMAN </v>
      </c>
      <c r="G79" s="21"/>
      <c r="H79" s="21">
        <v>0</v>
      </c>
      <c r="I79" s="28">
        <v>2</v>
      </c>
      <c r="J79" s="28">
        <v>2</v>
      </c>
      <c r="K79" s="28">
        <v>2</v>
      </c>
      <c r="L79" s="26" t="s">
        <v>2184</v>
      </c>
      <c r="M79" s="26" t="s">
        <v>1859</v>
      </c>
      <c r="N79" s="26" t="s">
        <v>1699</v>
      </c>
      <c r="O79" s="26" t="s">
        <v>2384</v>
      </c>
      <c r="P79" s="26" t="s">
        <v>528</v>
      </c>
      <c r="Q79" s="26">
        <v>67987628921</v>
      </c>
      <c r="R79" s="23">
        <v>27908</v>
      </c>
      <c r="S79" s="23">
        <v>42317</v>
      </c>
      <c r="T79" s="35">
        <v>5569508751</v>
      </c>
      <c r="U79" s="26"/>
      <c r="V79" s="26" t="s">
        <v>2785</v>
      </c>
      <c r="W79" s="26" t="s">
        <v>2786</v>
      </c>
      <c r="X79" s="26" t="s">
        <v>2477</v>
      </c>
      <c r="Y79" s="26" t="s">
        <v>530</v>
      </c>
      <c r="Z79" s="26">
        <v>96536</v>
      </c>
      <c r="AA79" s="26" t="s">
        <v>531</v>
      </c>
      <c r="AB79" s="26" t="s">
        <v>2892</v>
      </c>
      <c r="AC79" s="23">
        <v>43260</v>
      </c>
      <c r="AD79" s="26">
        <v>110.59</v>
      </c>
      <c r="AE79" s="26">
        <v>115.59</v>
      </c>
      <c r="AG79" s="22" t="str">
        <f t="shared" si="3"/>
        <v>EXECUTE [dbo].[PG_CI_OPERADOR] 0, 0, 0, 411, 'ROSAS CRUZ, GERMAN ' , '',0   , 2 , 2, 2,'GERMAN ', 'ROSAS', 'CRUZ' , 'ROCG760528BRA', 'ROCG760528HVZSRR09', '67987628921', '1976-05-28', '2015-11-09','5569508751','','SARDINA 32','MZ-19','LT-32','FRACC. PUERTO ESMERALDA','96536','COATZACOALCOS','VER123019','2018-06-09', 110.59,115.59</v>
      </c>
      <c r="AH79" s="11"/>
    </row>
    <row r="80" spans="1:34" s="10" customFormat="1" x14ac:dyDescent="0.25">
      <c r="A80" s="18"/>
      <c r="B80" s="19">
        <v>0</v>
      </c>
      <c r="C80" s="19">
        <v>0</v>
      </c>
      <c r="D80" s="19">
        <v>0</v>
      </c>
      <c r="E80" s="28">
        <v>412</v>
      </c>
      <c r="F80" s="20" t="str">
        <f t="shared" si="2"/>
        <v>ROSAS DE, JESUS JOSE</v>
      </c>
      <c r="G80" s="21"/>
      <c r="H80" s="21">
        <v>0</v>
      </c>
      <c r="I80" s="28">
        <v>1</v>
      </c>
      <c r="J80" s="28">
        <v>2</v>
      </c>
      <c r="K80" s="28">
        <v>2</v>
      </c>
      <c r="L80" s="26" t="s">
        <v>2185</v>
      </c>
      <c r="M80" s="26" t="s">
        <v>1859</v>
      </c>
      <c r="N80" s="26" t="s">
        <v>1823</v>
      </c>
      <c r="O80" s="26" t="s">
        <v>2385</v>
      </c>
      <c r="P80" s="26" t="s">
        <v>534</v>
      </c>
      <c r="Q80" s="26">
        <v>75846424069</v>
      </c>
      <c r="R80" s="23">
        <v>23392</v>
      </c>
      <c r="S80" s="23">
        <v>40801</v>
      </c>
      <c r="T80" s="35" t="s">
        <v>535</v>
      </c>
      <c r="U80" s="26"/>
      <c r="V80" s="26" t="s">
        <v>2787</v>
      </c>
      <c r="W80" s="26" t="s">
        <v>2505</v>
      </c>
      <c r="X80" s="26" t="s">
        <v>2506</v>
      </c>
      <c r="Y80" s="26" t="s">
        <v>537</v>
      </c>
      <c r="Z80" s="26">
        <v>55240</v>
      </c>
      <c r="AA80" s="26" t="s">
        <v>167</v>
      </c>
      <c r="AB80" s="26" t="s">
        <v>2907</v>
      </c>
      <c r="AC80" s="23">
        <v>43144</v>
      </c>
      <c r="AD80" s="26">
        <v>110.59</v>
      </c>
      <c r="AE80" s="26">
        <v>116.19</v>
      </c>
      <c r="AG80" s="22" t="str">
        <f t="shared" si="3"/>
        <v>EXECUTE [dbo].[PG_CI_OPERADOR] 0, 0, 0, 412, 'ROSAS DE, JESUS JOSE' , '',0   , 1 , 2, 2,'JESUS JOSE', 'ROSAS', 'DE' , 'ROJL640116AA0', 'ROJL640116HDFSSS06', '75846424069', '1964-01-16', '2011-09-15','5774 5723','','BOULEVARD POSHTECAS','MZ-45','LT-26','LA FLORIDA DE CIUDAD AZTECA','55240','ECATEPEC','DF209599','2018-02-13', 110.59,116.19</v>
      </c>
      <c r="AH80" s="11"/>
    </row>
    <row r="81" spans="1:34" s="10" customFormat="1" x14ac:dyDescent="0.25">
      <c r="A81" s="18"/>
      <c r="B81" s="19">
        <v>0</v>
      </c>
      <c r="C81" s="19">
        <v>0</v>
      </c>
      <c r="D81" s="19">
        <v>0</v>
      </c>
      <c r="E81" s="28">
        <v>413</v>
      </c>
      <c r="F81" s="20" t="str">
        <f t="shared" si="2"/>
        <v>ROSAS PAREDES, ROBERTO CARLOS</v>
      </c>
      <c r="G81" s="21"/>
      <c r="H81" s="21">
        <v>0</v>
      </c>
      <c r="I81" s="28">
        <v>1</v>
      </c>
      <c r="J81" s="28">
        <v>2</v>
      </c>
      <c r="K81" s="28">
        <v>2</v>
      </c>
      <c r="L81" s="26" t="s">
        <v>2149</v>
      </c>
      <c r="M81" s="26" t="s">
        <v>1859</v>
      </c>
      <c r="N81" s="26" t="s">
        <v>1861</v>
      </c>
      <c r="O81" s="26" t="s">
        <v>2386</v>
      </c>
      <c r="P81" s="26" t="s">
        <v>540</v>
      </c>
      <c r="Q81" s="26">
        <v>92907201195</v>
      </c>
      <c r="R81" s="23">
        <v>26992</v>
      </c>
      <c r="S81" s="23">
        <v>42249</v>
      </c>
      <c r="T81" s="35">
        <v>6641106758</v>
      </c>
      <c r="U81" s="26"/>
      <c r="V81" s="26" t="s">
        <v>2788</v>
      </c>
      <c r="W81" s="26">
        <v>10721</v>
      </c>
      <c r="X81" s="26" t="s">
        <v>2507</v>
      </c>
      <c r="Y81" s="26" t="s">
        <v>542</v>
      </c>
      <c r="Z81" s="26">
        <v>22253</v>
      </c>
      <c r="AA81" s="26" t="s">
        <v>180</v>
      </c>
      <c r="AB81" s="26" t="s">
        <v>2859</v>
      </c>
      <c r="AC81" s="23">
        <v>42684</v>
      </c>
      <c r="AD81" s="26">
        <v>110.59</v>
      </c>
      <c r="AE81" s="26">
        <v>115.59</v>
      </c>
      <c r="AG81" s="22" t="str">
        <f t="shared" si="3"/>
        <v>EXECUTE [dbo].[PG_CI_OPERADOR] 0, 0, 0, 413, 'ROSAS PAREDES, ROBERTO CARLOS' , '',0   , 1 , 2, 2,'ROBERTO CARLOS', 'ROSAS', 'PAREDES' , 'ROPR731124180', 'ROPR731124HDFSRB02', '92907201195', '1973-11-24', '2015-09-02','6641106758','','PRIVADA ALAMOS','10721','11B','FRACC. PASEOS DEL VERGUEL','22253','TIJUANA','','2016-11-10', 110.59,115.59</v>
      </c>
      <c r="AH81" s="11"/>
    </row>
    <row r="82" spans="1:34" s="10" customFormat="1" x14ac:dyDescent="0.25">
      <c r="A82" s="18"/>
      <c r="B82" s="19">
        <v>0</v>
      </c>
      <c r="C82" s="19">
        <v>0</v>
      </c>
      <c r="D82" s="19">
        <v>0</v>
      </c>
      <c r="E82" s="28">
        <v>414</v>
      </c>
      <c r="F82" s="20" t="str">
        <f t="shared" si="2"/>
        <v>SANCHEZ PORTILLO, JUAN GABRIEL</v>
      </c>
      <c r="G82" s="21"/>
      <c r="H82" s="21">
        <v>0</v>
      </c>
      <c r="I82" s="28">
        <v>1</v>
      </c>
      <c r="J82" s="28">
        <v>0</v>
      </c>
      <c r="K82" s="28">
        <v>2</v>
      </c>
      <c r="L82" s="26" t="s">
        <v>2128</v>
      </c>
      <c r="M82" s="26" t="s">
        <v>1862</v>
      </c>
      <c r="N82" s="26" t="s">
        <v>1863</v>
      </c>
      <c r="O82" s="26" t="s">
        <v>2387</v>
      </c>
      <c r="P82" s="26" t="s">
        <v>544</v>
      </c>
      <c r="Q82" s="26">
        <v>94947406073</v>
      </c>
      <c r="R82" s="23">
        <v>27358</v>
      </c>
      <c r="S82" s="23">
        <v>38988</v>
      </c>
      <c r="T82" s="35"/>
      <c r="U82" s="26"/>
      <c r="V82" s="26" t="s">
        <v>222</v>
      </c>
      <c r="W82" s="26" t="s">
        <v>2508</v>
      </c>
      <c r="X82" s="26" t="s">
        <v>2448</v>
      </c>
      <c r="Y82" s="26" t="s">
        <v>546</v>
      </c>
      <c r="Z82" s="26">
        <v>55120</v>
      </c>
      <c r="AA82" s="26" t="s">
        <v>240</v>
      </c>
      <c r="AB82" s="26" t="s">
        <v>2893</v>
      </c>
      <c r="AC82" s="23">
        <v>43144</v>
      </c>
      <c r="AD82" s="26">
        <v>110.59</v>
      </c>
      <c r="AE82" s="26">
        <v>116.19</v>
      </c>
      <c r="AG82" s="22" t="str">
        <f t="shared" si="3"/>
        <v>EXECUTE [dbo].[PG_CI_OPERADOR] 0, 0, 0, 414, 'SANCHEZ PORTILLO, JUAN GABRIEL' , '',0   , 1 , 0, 2,'JUAN GABRIEL', 'SANCHEZ', 'PORTILLO' , 'SAPJ741125JY5', 'SAPJ741125HVZNRX04', '94947406073', '1974-11-25', '2006-09-28','','','LAZARO CARDENAS','MZ-13','LT-10','POPULAR','55120','ECATEPEC DE MORELOS','DF0023148','2018-02-13', 110.59,116.19</v>
      </c>
      <c r="AH82" s="11"/>
    </row>
    <row r="83" spans="1:34" s="10" customFormat="1" x14ac:dyDescent="0.25">
      <c r="A83" s="18"/>
      <c r="B83" s="19">
        <v>0</v>
      </c>
      <c r="C83" s="19">
        <v>0</v>
      </c>
      <c r="D83" s="19">
        <v>0</v>
      </c>
      <c r="E83" s="28">
        <v>415</v>
      </c>
      <c r="F83" s="20" t="str">
        <f t="shared" si="2"/>
        <v xml:space="preserve">SANCHEZ SANCHEZ, ABRAHAM </v>
      </c>
      <c r="G83" s="21"/>
      <c r="H83" s="21">
        <v>0</v>
      </c>
      <c r="I83" s="28">
        <v>1</v>
      </c>
      <c r="J83" s="28">
        <v>0</v>
      </c>
      <c r="K83" s="28">
        <v>2</v>
      </c>
      <c r="L83" s="26" t="s">
        <v>2186</v>
      </c>
      <c r="M83" s="26" t="s">
        <v>1862</v>
      </c>
      <c r="N83" s="26" t="s">
        <v>1862</v>
      </c>
      <c r="O83" s="26" t="s">
        <v>2388</v>
      </c>
      <c r="P83" s="26" t="s">
        <v>549</v>
      </c>
      <c r="Q83" s="26">
        <v>92917211424</v>
      </c>
      <c r="R83" s="23">
        <v>26477</v>
      </c>
      <c r="S83" s="23">
        <v>39038</v>
      </c>
      <c r="T83" s="35"/>
      <c r="U83" s="26"/>
      <c r="V83" s="26" t="s">
        <v>2789</v>
      </c>
      <c r="W83" s="26">
        <v>4</v>
      </c>
      <c r="X83" s="26"/>
      <c r="Y83" s="26" t="s">
        <v>551</v>
      </c>
      <c r="Z83" s="26">
        <v>55970</v>
      </c>
      <c r="AA83" s="26" t="s">
        <v>551</v>
      </c>
      <c r="AB83" s="26" t="s">
        <v>2894</v>
      </c>
      <c r="AC83" s="23">
        <v>43144</v>
      </c>
      <c r="AD83" s="26">
        <v>110.59</v>
      </c>
      <c r="AE83" s="26">
        <v>116.19</v>
      </c>
      <c r="AG83" s="22" t="str">
        <f t="shared" si="3"/>
        <v>EXECUTE [dbo].[PG_CI_OPERADOR] 0, 0, 0, 415, 'SANCHEZ SANCHEZ, ABRAHAM ' , '',0   , 1 , 0, 2,'ABRAHAM ', 'SANCHEZ', 'SANCHEZ' , 'SASA7206276M2', 'SASA720627HDFNNB04', '92917211424', '1972-06-27', '2006-11-17','','','FERNANDO DAVILA','4','','NOPALTEPEC','55970','NOPALTEPEC','DF0013542','2018-02-13', 110.59,116.19</v>
      </c>
      <c r="AH83" s="11"/>
    </row>
    <row r="84" spans="1:34" s="10" customFormat="1" x14ac:dyDescent="0.25">
      <c r="A84" s="18"/>
      <c r="B84" s="19">
        <v>0</v>
      </c>
      <c r="C84" s="19">
        <v>0</v>
      </c>
      <c r="D84" s="19">
        <v>0</v>
      </c>
      <c r="E84" s="28">
        <v>416</v>
      </c>
      <c r="F84" s="20" t="str">
        <f t="shared" si="2"/>
        <v xml:space="preserve">SANTOS MATIAS, JUSTO </v>
      </c>
      <c r="G84" s="21"/>
      <c r="H84" s="21">
        <v>0</v>
      </c>
      <c r="I84" s="28">
        <v>1</v>
      </c>
      <c r="J84" s="28">
        <v>0</v>
      </c>
      <c r="K84" s="28">
        <v>2</v>
      </c>
      <c r="L84" s="26" t="s">
        <v>2187</v>
      </c>
      <c r="M84" s="26" t="s">
        <v>1865</v>
      </c>
      <c r="N84" s="26" t="s">
        <v>1866</v>
      </c>
      <c r="O84" s="26" t="s">
        <v>2389</v>
      </c>
      <c r="P84" s="26" t="s">
        <v>554</v>
      </c>
      <c r="Q84" s="26">
        <v>67877251057</v>
      </c>
      <c r="R84" s="23">
        <v>26447</v>
      </c>
      <c r="S84" s="23">
        <v>39848</v>
      </c>
      <c r="T84" s="35"/>
      <c r="U84" s="26"/>
      <c r="V84" s="26" t="s">
        <v>2790</v>
      </c>
      <c r="W84" s="26">
        <v>220</v>
      </c>
      <c r="X84" s="26">
        <v>1</v>
      </c>
      <c r="Y84" s="26" t="s">
        <v>556</v>
      </c>
      <c r="Z84" s="26">
        <v>32630</v>
      </c>
      <c r="AA84" s="26" t="s">
        <v>117</v>
      </c>
      <c r="AB84" s="26" t="s">
        <v>2859</v>
      </c>
      <c r="AC84" s="23">
        <v>42684</v>
      </c>
      <c r="AD84" s="26">
        <v>110.59</v>
      </c>
      <c r="AE84" s="26">
        <v>116.19</v>
      </c>
      <c r="AG84" s="22" t="str">
        <f t="shared" si="3"/>
        <v>EXECUTE [dbo].[PG_CI_OPERADOR] 0, 0, 0, 416, 'SANTOS MATIAS, JUSTO ' , '',0   , 1 , 0, 2,'JUSTO ', 'SANTOS', 'MATIAS' , 'SAMJ720528EM0', 'SAMJ720528HOCNTS05', '67877251057', '1972-05-28', '2009-02-04','','','PASEO DE LOS SANTOS','220','1','LAS LILAS','32630','CD. JUAREZ','','2016-11-10', 110.59,116.19</v>
      </c>
      <c r="AH84" s="11"/>
    </row>
    <row r="85" spans="1:34" s="10" customFormat="1" x14ac:dyDescent="0.25">
      <c r="A85" s="18"/>
      <c r="B85" s="19">
        <v>0</v>
      </c>
      <c r="C85" s="19">
        <v>0</v>
      </c>
      <c r="D85" s="19">
        <v>0</v>
      </c>
      <c r="E85" s="28">
        <v>419</v>
      </c>
      <c r="F85" s="20" t="str">
        <f t="shared" si="2"/>
        <v xml:space="preserve">TREJO AGUILAR, EDUARDO </v>
      </c>
      <c r="G85" s="21"/>
      <c r="H85" s="21">
        <v>0</v>
      </c>
      <c r="I85" s="28">
        <v>1</v>
      </c>
      <c r="J85" s="28">
        <v>2</v>
      </c>
      <c r="K85" s="28">
        <v>2</v>
      </c>
      <c r="L85" s="26" t="s">
        <v>2156</v>
      </c>
      <c r="M85" s="26" t="s">
        <v>1868</v>
      </c>
      <c r="N85" s="26" t="s">
        <v>1869</v>
      </c>
      <c r="O85" s="26" t="s">
        <v>2390</v>
      </c>
      <c r="P85" s="26" t="s">
        <v>558</v>
      </c>
      <c r="Q85" s="26">
        <v>13806313964</v>
      </c>
      <c r="R85" s="23">
        <v>23113</v>
      </c>
      <c r="S85" s="23">
        <v>39896</v>
      </c>
      <c r="T85" s="35" t="s">
        <v>559</v>
      </c>
      <c r="U85" s="26"/>
      <c r="V85" s="26" t="s">
        <v>2509</v>
      </c>
      <c r="W85" s="26">
        <v>3</v>
      </c>
      <c r="X85" s="26"/>
      <c r="Y85" s="26" t="s">
        <v>561</v>
      </c>
      <c r="Z85" s="26">
        <v>42880</v>
      </c>
      <c r="AA85" s="26" t="s">
        <v>562</v>
      </c>
      <c r="AB85" s="26" t="s">
        <v>2895</v>
      </c>
      <c r="AC85" s="23">
        <v>43140</v>
      </c>
      <c r="AD85" s="26">
        <v>110.59</v>
      </c>
      <c r="AE85" s="26">
        <v>116.19</v>
      </c>
      <c r="AG85" s="22" t="str">
        <f t="shared" si="3"/>
        <v>EXECUTE [dbo].[PG_CI_OPERADOR] 0, 0, 0, 419, 'TREJO AGUILAR, EDUARDO ' , '',0   , 1 , 2, 2,'EDUARDO ', 'TREJO', 'AGUILAR' , 'TEAE630412BR0', 'TEAE630412HHGRGD03', '13806313964', '1963-04-12', '2009-03-24','01 773 113 65 65','','CUITLAHUAC','3','','SANTIAGO TLAPANALOYA','42880','TEPEJI DEL RIO','DF0015608','2018-02-09', 110.59,116.19</v>
      </c>
      <c r="AH85" s="11"/>
    </row>
    <row r="86" spans="1:34" s="10" customFormat="1" x14ac:dyDescent="0.25">
      <c r="A86" s="18"/>
      <c r="B86" s="19">
        <v>0</v>
      </c>
      <c r="C86" s="19">
        <v>0</v>
      </c>
      <c r="D86" s="19">
        <v>0</v>
      </c>
      <c r="E86" s="28">
        <v>421</v>
      </c>
      <c r="F86" s="20" t="str">
        <f t="shared" si="2"/>
        <v>VELAZQUEZ DE, LUNA JOSE</v>
      </c>
      <c r="G86" s="21"/>
      <c r="H86" s="21">
        <v>0</v>
      </c>
      <c r="I86" s="28">
        <v>1</v>
      </c>
      <c r="J86" s="28">
        <v>2</v>
      </c>
      <c r="K86" s="28">
        <v>2</v>
      </c>
      <c r="L86" s="26" t="s">
        <v>2188</v>
      </c>
      <c r="M86" s="26" t="s">
        <v>1870</v>
      </c>
      <c r="N86" s="26" t="s">
        <v>1823</v>
      </c>
      <c r="O86" s="26" t="s">
        <v>2391</v>
      </c>
      <c r="P86" s="26" t="s">
        <v>565</v>
      </c>
      <c r="Q86" s="26">
        <v>4977803891</v>
      </c>
      <c r="R86" s="23">
        <v>28716</v>
      </c>
      <c r="S86" s="23">
        <v>41586</v>
      </c>
      <c r="T86" s="35" t="s">
        <v>566</v>
      </c>
      <c r="U86" s="26"/>
      <c r="V86" s="26" t="s">
        <v>2791</v>
      </c>
      <c r="W86" s="26">
        <v>218</v>
      </c>
      <c r="X86" s="26"/>
      <c r="Y86" s="26" t="s">
        <v>568</v>
      </c>
      <c r="Z86" s="26">
        <v>45645</v>
      </c>
      <c r="AA86" s="26" t="s">
        <v>569</v>
      </c>
      <c r="AB86" s="26" t="s">
        <v>2896</v>
      </c>
      <c r="AC86" s="23">
        <v>43140</v>
      </c>
      <c r="AD86" s="26">
        <v>110.59</v>
      </c>
      <c r="AE86" s="26">
        <v>115.59</v>
      </c>
      <c r="AG86" s="22" t="str">
        <f t="shared" si="3"/>
        <v>EXECUTE [dbo].[PG_CI_OPERADOR] 0, 0, 0, 421, 'VELAZQUEZ DE, LUNA JOSE' , '',0   , 1 , 2, 2,'LUNA JOSE', 'VELAZQUEZ', 'DE' , 'VELD780814AS3', 'VELD780814HJCLNV05', '4977803891', '1978-08-14', '2013-11-08','1507 6808','','LOMA BLANCA ORIENTE','218','','LOMAS DE SAN AGUSTIN','45645','TLAJOMULCO DE ZUÃ‘IGA','JAL003012','2018-02-09', 110.59,115.59</v>
      </c>
      <c r="AH86" s="11"/>
    </row>
    <row r="87" spans="1:34" s="10" customFormat="1" x14ac:dyDescent="0.25">
      <c r="A87" s="18"/>
      <c r="B87" s="19">
        <v>0</v>
      </c>
      <c r="C87" s="19">
        <v>0</v>
      </c>
      <c r="D87" s="19">
        <v>0</v>
      </c>
      <c r="E87" s="28">
        <v>422</v>
      </c>
      <c r="F87" s="20" t="str">
        <f t="shared" si="2"/>
        <v>VIRUEGA BALDOMERO, EDGAR ENRIQUE</v>
      </c>
      <c r="G87" s="21"/>
      <c r="H87" s="21">
        <v>0</v>
      </c>
      <c r="I87" s="28">
        <v>2</v>
      </c>
      <c r="J87" s="28">
        <v>0</v>
      </c>
      <c r="K87" s="28">
        <v>2</v>
      </c>
      <c r="L87" s="26" t="s">
        <v>2189</v>
      </c>
      <c r="M87" s="26" t="s">
        <v>1872</v>
      </c>
      <c r="N87" s="26" t="s">
        <v>1873</v>
      </c>
      <c r="O87" s="26" t="s">
        <v>2392</v>
      </c>
      <c r="P87" s="26" t="s">
        <v>572</v>
      </c>
      <c r="Q87" s="26">
        <v>11957308973</v>
      </c>
      <c r="R87" s="23">
        <v>26856</v>
      </c>
      <c r="S87" s="23">
        <v>41761</v>
      </c>
      <c r="T87" s="35" t="s">
        <v>573</v>
      </c>
      <c r="U87" s="26"/>
      <c r="V87" s="26" t="s">
        <v>2510</v>
      </c>
      <c r="W87" s="26">
        <v>93</v>
      </c>
      <c r="X87" s="26"/>
      <c r="Y87" s="26" t="s">
        <v>575</v>
      </c>
      <c r="Z87" s="26">
        <v>54680</v>
      </c>
      <c r="AA87" s="26" t="s">
        <v>322</v>
      </c>
      <c r="AB87" s="26" t="s">
        <v>2897</v>
      </c>
      <c r="AC87" s="23">
        <v>42901</v>
      </c>
      <c r="AD87" s="26">
        <v>110.59</v>
      </c>
      <c r="AE87" s="26">
        <v>115.74</v>
      </c>
      <c r="AG87" s="22" t="str">
        <f t="shared" si="3"/>
        <v>EXECUTE [dbo].[PG_CI_OPERADOR] 0, 0, 0, 422, 'VIRUEGA BALDOMERO, EDGAR ENRIQUE' , '',0   , 2 , 0, 2,'EDGAR ENRIQUE', 'VIRUEGA', 'BALDOMERO' , 'VIBE730711', 'VIBE730711HDFRLD09', '11957308973', '1973-07-11', '2014-05-02','55 3694 7894','','ROBLEDO','93','','FRACC. URBI VILLA DEL REY','54680','HUEHUETOCA','DF0022450','2017-06-15', 110.59,115.74</v>
      </c>
      <c r="AH87" s="11"/>
    </row>
    <row r="88" spans="1:34" s="10" customFormat="1" x14ac:dyDescent="0.25">
      <c r="A88" s="18"/>
      <c r="B88" s="19">
        <v>0</v>
      </c>
      <c r="C88" s="19">
        <v>0</v>
      </c>
      <c r="D88" s="19">
        <v>0</v>
      </c>
      <c r="E88" s="28">
        <v>423</v>
      </c>
      <c r="F88" s="20" t="str">
        <f t="shared" si="2"/>
        <v>JUAN MANUEL, MORENO CASTRO</v>
      </c>
      <c r="G88" s="21"/>
      <c r="H88" s="21">
        <v>0</v>
      </c>
      <c r="I88" s="28">
        <v>1</v>
      </c>
      <c r="J88" s="28">
        <v>2</v>
      </c>
      <c r="K88" s="28">
        <v>2</v>
      </c>
      <c r="L88" s="26" t="s">
        <v>2190</v>
      </c>
      <c r="M88" s="26" t="s">
        <v>1706</v>
      </c>
      <c r="N88" s="26" t="s">
        <v>1740</v>
      </c>
      <c r="O88" s="26" t="s">
        <v>580</v>
      </c>
      <c r="P88" s="26" t="s">
        <v>581</v>
      </c>
      <c r="Q88" s="26">
        <v>25977931150</v>
      </c>
      <c r="R88" s="23" t="s">
        <v>579</v>
      </c>
      <c r="S88" s="23">
        <v>42313</v>
      </c>
      <c r="T88" s="35">
        <v>6264462</v>
      </c>
      <c r="U88" s="26"/>
      <c r="V88" s="26" t="s">
        <v>2511</v>
      </c>
      <c r="W88" s="26">
        <v>8169</v>
      </c>
      <c r="X88" s="26" t="s">
        <v>2513</v>
      </c>
      <c r="Y88" s="26" t="s">
        <v>583</v>
      </c>
      <c r="Z88" s="26">
        <v>32600</v>
      </c>
      <c r="AA88" s="26" t="s">
        <v>180</v>
      </c>
      <c r="AB88" s="26" t="s">
        <v>2898</v>
      </c>
      <c r="AC88" s="23">
        <v>43248</v>
      </c>
      <c r="AD88" s="26">
        <v>427.84</v>
      </c>
      <c r="AE88" s="26">
        <v>447</v>
      </c>
      <c r="AG88" s="22" t="str">
        <f t="shared" si="3"/>
        <v>EXECUTE [dbo].[PG_CI_OPERADOR] 0, 0, 0, 423, 'JUAN MANUEL, MORENO CASTRO' , '',0   , 1 , 2, 2,'MORENO CASTRO', 'JUAN', 'MANUEL' , 'MOCJ820113L58', 'MOCJ820113HBCRSN06', '25977931150', '1882-01-13', '2015-11-05','6264462','','HAITIANOS','8169','2D','INF. CACHANILLA','32600','TIJUANA','B-E FEDER','2018-05-28', 427.84,447</v>
      </c>
      <c r="AH88" s="11"/>
    </row>
    <row r="89" spans="1:34" s="10" customFormat="1" x14ac:dyDescent="0.25">
      <c r="A89" s="18"/>
      <c r="B89" s="19">
        <v>0</v>
      </c>
      <c r="C89" s="19">
        <v>0</v>
      </c>
      <c r="D89" s="19">
        <v>0</v>
      </c>
      <c r="E89" s="28">
        <v>425</v>
      </c>
      <c r="F89" s="20" t="str">
        <f t="shared" si="2"/>
        <v xml:space="preserve">DORANTES GARCIA, RAMIRO </v>
      </c>
      <c r="G89" s="21"/>
      <c r="H89" s="21">
        <v>0</v>
      </c>
      <c r="I89" s="28">
        <v>1</v>
      </c>
      <c r="J89" s="28">
        <v>2</v>
      </c>
      <c r="K89" s="28">
        <v>2</v>
      </c>
      <c r="L89" s="26" t="s">
        <v>2191</v>
      </c>
      <c r="M89" s="26" t="s">
        <v>1876</v>
      </c>
      <c r="N89" s="26" t="s">
        <v>1773</v>
      </c>
      <c r="O89" s="26" t="s">
        <v>2393</v>
      </c>
      <c r="P89" s="26" t="s">
        <v>586</v>
      </c>
      <c r="Q89" s="26">
        <v>11755681415</v>
      </c>
      <c r="R89" s="23">
        <v>20528</v>
      </c>
      <c r="S89" s="23">
        <v>40522</v>
      </c>
      <c r="T89" s="35" t="s">
        <v>587</v>
      </c>
      <c r="U89" s="26"/>
      <c r="V89" s="26" t="s">
        <v>2792</v>
      </c>
      <c r="W89" s="26" t="s">
        <v>13</v>
      </c>
      <c r="X89" s="26"/>
      <c r="Y89" s="26" t="s">
        <v>315</v>
      </c>
      <c r="Z89" s="26">
        <v>39120</v>
      </c>
      <c r="AA89" s="26" t="s">
        <v>316</v>
      </c>
      <c r="AB89" s="26" t="s">
        <v>2899</v>
      </c>
      <c r="AC89" s="23">
        <v>43140</v>
      </c>
      <c r="AD89" s="26">
        <v>110.59</v>
      </c>
      <c r="AE89" s="26">
        <v>115.59</v>
      </c>
      <c r="AG89" s="22" t="str">
        <f t="shared" si="3"/>
        <v>EXECUTE [dbo].[PG_CI_OPERADOR] 0, 0, 0, 425, 'DORANTES GARCIA, RAMIRO ' , '',0   , 1 , 2, 2,'RAMIRO ', 'DORANTES', 'GARCIA' , 'DOGR560314T83', 'DOGR560314HGRRRM04', '11755681415', '1956-03-14', '2010-12-10','747 1276 337','','CARRETERA NACIONAL MEXICO-ACAPULCO','S/N','','LOS CAJELITOS','39120','CHILPANCINGO DE LOS BRAVOS','GRO000220','2018-02-09', 110.59,115.59</v>
      </c>
      <c r="AH89" s="11"/>
    </row>
    <row r="90" spans="1:34" s="10" customFormat="1" x14ac:dyDescent="0.25">
      <c r="A90" s="18"/>
      <c r="B90" s="19">
        <v>0</v>
      </c>
      <c r="C90" s="19">
        <v>0</v>
      </c>
      <c r="D90" s="19">
        <v>0</v>
      </c>
      <c r="E90" s="28">
        <v>426</v>
      </c>
      <c r="F90" s="20" t="str">
        <f t="shared" si="2"/>
        <v>SPINDOLA BLANCO, DAVID ROMAN</v>
      </c>
      <c r="G90" s="21"/>
      <c r="H90" s="21">
        <v>0</v>
      </c>
      <c r="I90" s="28">
        <v>2</v>
      </c>
      <c r="J90" s="28">
        <v>2</v>
      </c>
      <c r="K90" s="28">
        <v>2</v>
      </c>
      <c r="L90" s="26" t="s">
        <v>2192</v>
      </c>
      <c r="M90" s="26" t="s">
        <v>1878</v>
      </c>
      <c r="N90" s="26" t="s">
        <v>1879</v>
      </c>
      <c r="O90" s="26" t="s">
        <v>591</v>
      </c>
      <c r="P90" s="26" t="s">
        <v>592</v>
      </c>
      <c r="Q90" s="26">
        <v>42977305293</v>
      </c>
      <c r="R90" s="23">
        <v>26824</v>
      </c>
      <c r="S90" s="23">
        <v>42314</v>
      </c>
      <c r="T90" s="35">
        <v>5569508751</v>
      </c>
      <c r="U90" s="26"/>
      <c r="V90" s="26" t="s">
        <v>2793</v>
      </c>
      <c r="W90" s="26">
        <v>49</v>
      </c>
      <c r="X90" s="26"/>
      <c r="Y90" s="26" t="s">
        <v>594</v>
      </c>
      <c r="Z90" s="26">
        <v>9270</v>
      </c>
      <c r="AA90" s="26" t="s">
        <v>594</v>
      </c>
      <c r="AB90" s="26" t="s">
        <v>2900</v>
      </c>
      <c r="AC90" s="23">
        <v>43069</v>
      </c>
      <c r="AD90" s="26">
        <v>110.59</v>
      </c>
      <c r="AE90" s="26">
        <v>115.59</v>
      </c>
      <c r="AG90" s="22" t="str">
        <f t="shared" si="3"/>
        <v>EXECUTE [dbo].[PG_CI_OPERADOR] 0, 0, 0, 426, 'SPINDOLA BLANCO, DAVID ROMAN' , '',0   , 2 , 2, 2,'DAVID ROMAN', 'SPINDOLA', 'BLANCO' , 'SIBD730609', 'SIBD730609HDFPLV00', '42977305293', '1973-06-09', '2015-11-06','5569508751','','ALFONSO HERRERA','49','','IZTAPALAPA','9270','IZTAPALAPA','DF0014914','2017-11-30', 110.59,115.59</v>
      </c>
      <c r="AH90" s="11"/>
    </row>
    <row r="91" spans="1:34" s="10" customFormat="1" x14ac:dyDescent="0.25">
      <c r="A91" s="18"/>
      <c r="B91" s="19">
        <v>0</v>
      </c>
      <c r="C91" s="19">
        <v>0</v>
      </c>
      <c r="D91" s="19">
        <v>0</v>
      </c>
      <c r="E91" s="28">
        <v>428</v>
      </c>
      <c r="F91" s="20" t="str">
        <f t="shared" si="2"/>
        <v>SANCHEZ HERNANDEZ, HECTOR ESTEBAN</v>
      </c>
      <c r="G91" s="21"/>
      <c r="H91" s="21">
        <v>0</v>
      </c>
      <c r="I91" s="28">
        <v>2</v>
      </c>
      <c r="J91" s="28">
        <v>2</v>
      </c>
      <c r="K91" s="28">
        <v>2</v>
      </c>
      <c r="L91" s="26" t="s">
        <v>2193</v>
      </c>
      <c r="M91" s="26" t="s">
        <v>1862</v>
      </c>
      <c r="N91" s="26" t="s">
        <v>1713</v>
      </c>
      <c r="O91" s="26" t="s">
        <v>2394</v>
      </c>
      <c r="P91" s="26" t="s">
        <v>597</v>
      </c>
      <c r="Q91" s="26">
        <v>4988223097</v>
      </c>
      <c r="R91" s="23">
        <v>30194</v>
      </c>
      <c r="S91" s="23">
        <v>42451</v>
      </c>
      <c r="T91" s="35">
        <v>4811037629</v>
      </c>
      <c r="U91" s="26"/>
      <c r="V91" s="26" t="s">
        <v>2514</v>
      </c>
      <c r="W91" s="26">
        <v>114</v>
      </c>
      <c r="X91" s="26"/>
      <c r="Y91" s="26" t="s">
        <v>599</v>
      </c>
      <c r="Z91" s="26">
        <v>36970</v>
      </c>
      <c r="AA91" s="26" t="s">
        <v>600</v>
      </c>
      <c r="AB91" s="26" t="s">
        <v>2859</v>
      </c>
      <c r="AC91" s="23">
        <v>43266</v>
      </c>
      <c r="AD91" s="26">
        <v>125</v>
      </c>
      <c r="AE91" s="26">
        <v>130.65</v>
      </c>
      <c r="AG91" s="22" t="str">
        <f t="shared" si="3"/>
        <v>EXECUTE [dbo].[PG_CI_OPERADOR] 0, 0, 0, 428, 'SANCHEZ HERNANDEZ, HECTOR ESTEBAN' , '',0   , 2 , 2, 2,'HECTOR ESTEBAN', 'SANCHEZ', 'HERNANDEZ' , 'SAHH8208314R1', 'SAHH820831HZSNRC01', '4988223097', '1982-08-31', '2016-03-22','4811037629','','BUGAMBILIAS','114','','LAS MARGARITAS','36970','ABASOLO','','2018-06-15', 125,130.65</v>
      </c>
      <c r="AH91" s="11"/>
    </row>
    <row r="92" spans="1:34" s="10" customFormat="1" x14ac:dyDescent="0.25">
      <c r="A92" s="18"/>
      <c r="B92" s="19">
        <v>0</v>
      </c>
      <c r="C92" s="19">
        <v>0</v>
      </c>
      <c r="D92" s="19">
        <v>0</v>
      </c>
      <c r="E92" s="28">
        <v>429</v>
      </c>
      <c r="F92" s="20" t="str">
        <f t="shared" si="2"/>
        <v xml:space="preserve">MARTINEZ RODRIGUEZ, RAMIRO </v>
      </c>
      <c r="G92" s="21"/>
      <c r="H92" s="21">
        <v>0</v>
      </c>
      <c r="I92" s="28">
        <v>1</v>
      </c>
      <c r="J92" s="28">
        <v>2</v>
      </c>
      <c r="K92" s="28">
        <v>2</v>
      </c>
      <c r="L92" s="26" t="s">
        <v>2191</v>
      </c>
      <c r="M92" s="26" t="s">
        <v>1765</v>
      </c>
      <c r="N92" s="26" t="s">
        <v>1718</v>
      </c>
      <c r="O92" s="26" t="s">
        <v>2395</v>
      </c>
      <c r="P92" s="26" t="s">
        <v>603</v>
      </c>
      <c r="Q92" s="26">
        <v>51886801979</v>
      </c>
      <c r="R92" s="23">
        <v>25108</v>
      </c>
      <c r="S92" s="23">
        <v>43392</v>
      </c>
      <c r="T92" s="35">
        <v>4491260569</v>
      </c>
      <c r="U92" s="26"/>
      <c r="V92" s="26" t="s">
        <v>2794</v>
      </c>
      <c r="W92" s="26" t="s">
        <v>2451</v>
      </c>
      <c r="X92" s="26">
        <v>848</v>
      </c>
      <c r="Y92" s="26" t="s">
        <v>605</v>
      </c>
      <c r="Z92" s="26">
        <v>20298</v>
      </c>
      <c r="AA92" s="26" t="s">
        <v>606</v>
      </c>
      <c r="AB92" s="26" t="s">
        <v>2901</v>
      </c>
      <c r="AC92" s="23">
        <v>43397</v>
      </c>
      <c r="AD92" s="26">
        <v>110.59</v>
      </c>
      <c r="AE92" s="26">
        <v>115.59</v>
      </c>
      <c r="AG92" s="22" t="str">
        <f t="shared" si="3"/>
        <v>EXECUTE [dbo].[PG_CI_OPERADOR] 0, 0, 0, 429, 'MARTINEZ RODRIGUEZ, RAMIRO ' , '',0   , 1 , 2, 2,'RAMIRO ', 'MARTINEZ', 'RODRIGUEZ' , 'MARR680927UF4', 'MARR680927HJCRDM07', '51886801979', '1968-09-27', '2018-10-19','4491260569','','SIXTO VERDUGO','NÂº','848','FRACCIONAMIENTO EMILIANO ZAPATA','20298','AGUASCALIENTES','AGS000407','2018-10-24', 110.59,115.59</v>
      </c>
      <c r="AH92" s="11"/>
    </row>
    <row r="98" spans="8:8" x14ac:dyDescent="0.25">
      <c r="H98" s="42"/>
    </row>
  </sheetData>
  <autoFilter ref="A1:AJ92"/>
  <conditionalFormatting sqref="AF1:XFD1 AC1 Q1:S1 A1:K1">
    <cfRule type="beginsWith" dxfId="9" priority="8" operator="beginsWith" text="[K_">
      <formula>LEFT(A1,LEN("[K_"))="[K_"</formula>
    </cfRule>
  </conditionalFormatting>
  <conditionalFormatting sqref="AD1:AE1">
    <cfRule type="beginsWith" dxfId="8" priority="1" operator="beginsWith" text="[K_">
      <formula>LEFT(AD1,LEN("[K_"))="[K_"</formula>
    </cfRule>
  </conditionalFormatting>
  <conditionalFormatting sqref="L1:P1">
    <cfRule type="beginsWith" dxfId="7" priority="3" operator="beginsWith" text="[K_">
      <formula>LEFT(L1,LEN("[K_"))="[K_"</formula>
    </cfRule>
  </conditionalFormatting>
  <conditionalFormatting sqref="T1:AB1">
    <cfRule type="beginsWith" dxfId="6" priority="2" operator="beginsWith" text="[K_">
      <formula>LEFT(T1,LEN("[K_"))="[K_"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66"/>
  <sheetViews>
    <sheetView topLeftCell="A245" zoomScaleNormal="100" workbookViewId="0">
      <selection activeCell="A93" sqref="A93:XFD266"/>
    </sheetView>
  </sheetViews>
  <sheetFormatPr baseColWidth="10" defaultRowHeight="15" x14ac:dyDescent="0.25"/>
  <cols>
    <col min="1" max="1" width="3.28515625" style="13" customWidth="1"/>
    <col min="2" max="4" width="4.140625" customWidth="1"/>
    <col min="5" max="5" width="17.5703125" style="15" bestFit="1" customWidth="1"/>
    <col min="6" max="6" width="43.7109375" style="9" customWidth="1"/>
    <col min="7" max="7" width="28.140625" style="9" customWidth="1"/>
    <col min="8" max="11" width="17.5703125" style="15" bestFit="1" customWidth="1"/>
    <col min="12" max="21" width="21.140625" style="27" customWidth="1"/>
    <col min="22" max="22" width="43.42578125" style="27" bestFit="1" customWidth="1"/>
    <col min="23" max="31" width="21.140625" style="27" customWidth="1"/>
    <col min="32" max="32" width="8.42578125" customWidth="1"/>
    <col min="33" max="33" width="25.28515625" customWidth="1"/>
    <col min="34" max="34" width="17.42578125" style="12" customWidth="1"/>
  </cols>
  <sheetData>
    <row r="1" spans="1:36" s="17" customFormat="1" x14ac:dyDescent="0.25">
      <c r="A1" s="16" t="s">
        <v>8</v>
      </c>
      <c r="B1" s="17" t="s">
        <v>0</v>
      </c>
      <c r="C1" s="17" t="s">
        <v>1</v>
      </c>
      <c r="D1" s="17" t="s">
        <v>2</v>
      </c>
      <c r="E1" t="s">
        <v>16</v>
      </c>
      <c r="F1" t="s">
        <v>17</v>
      </c>
      <c r="G1" t="s">
        <v>18</v>
      </c>
      <c r="H1" t="s">
        <v>15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  <c r="AE1" t="s">
        <v>41</v>
      </c>
      <c r="AG1" s="17" t="s">
        <v>10</v>
      </c>
      <c r="AH1" s="17" t="str">
        <f>TABLA!A1</f>
        <v>PG_CI_OPERADOR</v>
      </c>
      <c r="AI1" s="17" t="s">
        <v>6</v>
      </c>
      <c r="AJ1" s="17" t="str">
        <f>CONCATENATE($AG$1,$AH$1,$AI$1,B3, ", ", C3, ", ", D3, ", ", )</f>
        <v xml:space="preserve">EXECUTE [dbo].[PG_CI_OPERADOR] 0, 0, 0, </v>
      </c>
    </row>
    <row r="2" spans="1:36" x14ac:dyDescent="0.25">
      <c r="A2" s="3"/>
      <c r="B2" s="7" t="s">
        <v>7</v>
      </c>
      <c r="C2" s="7" t="s">
        <v>7</v>
      </c>
      <c r="D2" s="7" t="s">
        <v>7</v>
      </c>
      <c r="E2" s="14" t="s">
        <v>7</v>
      </c>
      <c r="F2" s="8" t="s">
        <v>7</v>
      </c>
      <c r="G2" s="8" t="s">
        <v>7</v>
      </c>
      <c r="H2" s="14" t="s">
        <v>7</v>
      </c>
      <c r="I2" s="14" t="s">
        <v>7</v>
      </c>
      <c r="J2" s="14" t="s">
        <v>7</v>
      </c>
      <c r="K2" s="14" t="s">
        <v>7</v>
      </c>
      <c r="L2" s="25" t="s">
        <v>7</v>
      </c>
      <c r="M2" s="25" t="s">
        <v>7</v>
      </c>
      <c r="N2" s="25" t="s">
        <v>7</v>
      </c>
      <c r="O2" s="25" t="s">
        <v>7</v>
      </c>
      <c r="P2" s="25" t="s">
        <v>7</v>
      </c>
      <c r="Q2" s="25" t="s">
        <v>7</v>
      </c>
      <c r="R2" s="25" t="s">
        <v>7</v>
      </c>
      <c r="S2" s="25" t="s">
        <v>7</v>
      </c>
      <c r="T2" s="25" t="s">
        <v>7</v>
      </c>
      <c r="U2" s="25" t="s">
        <v>7</v>
      </c>
      <c r="V2" s="25" t="s">
        <v>7</v>
      </c>
      <c r="W2" s="25" t="s">
        <v>7</v>
      </c>
      <c r="X2" s="25" t="s">
        <v>7</v>
      </c>
      <c r="Y2" s="25" t="s">
        <v>7</v>
      </c>
      <c r="Z2" s="25" t="s">
        <v>7</v>
      </c>
      <c r="AA2" s="25" t="s">
        <v>7</v>
      </c>
      <c r="AB2" s="25" t="s">
        <v>7</v>
      </c>
      <c r="AC2" s="14" t="s">
        <v>7</v>
      </c>
      <c r="AD2" s="25" t="s">
        <v>7</v>
      </c>
      <c r="AE2" s="25" t="s">
        <v>7</v>
      </c>
      <c r="AF2" s="1"/>
      <c r="AG2" s="2" t="str">
        <f>"-- =========================================================="</f>
        <v>-- ==========================================================</v>
      </c>
      <c r="AH2" s="10"/>
      <c r="AI2" s="6"/>
      <c r="AJ2" s="1"/>
    </row>
    <row r="3" spans="1:36" s="10" customFormat="1" x14ac:dyDescent="0.25">
      <c r="A3" s="18"/>
      <c r="B3" s="19">
        <v>0</v>
      </c>
      <c r="C3" s="19">
        <v>0</v>
      </c>
      <c r="D3" s="19">
        <v>0</v>
      </c>
      <c r="E3" s="28">
        <v>333</v>
      </c>
      <c r="F3" s="20" t="str">
        <f>CONCATENATE(M3," ",N3,", ",L3)</f>
        <v xml:space="preserve">ALCANTARA ROA, ALBINO </v>
      </c>
      <c r="G3" s="21"/>
      <c r="H3" s="28">
        <v>20</v>
      </c>
      <c r="I3" s="28">
        <v>2</v>
      </c>
      <c r="J3" s="28">
        <v>0</v>
      </c>
      <c r="K3" s="28">
        <v>2</v>
      </c>
      <c r="L3" s="26" t="s">
        <v>2111</v>
      </c>
      <c r="M3" s="26" t="s">
        <v>1695</v>
      </c>
      <c r="N3" s="26" t="s">
        <v>1696</v>
      </c>
      <c r="O3" s="26" t="s">
        <v>2312</v>
      </c>
      <c r="P3" s="26" t="s">
        <v>83</v>
      </c>
      <c r="Q3" s="26">
        <v>6755623565</v>
      </c>
      <c r="R3" s="34">
        <v>41148</v>
      </c>
      <c r="S3" s="34">
        <v>20515</v>
      </c>
      <c r="T3" s="35" t="s">
        <v>84</v>
      </c>
      <c r="U3" s="26"/>
      <c r="V3" s="26" t="s">
        <v>2433</v>
      </c>
      <c r="W3" s="26" t="s">
        <v>2508</v>
      </c>
      <c r="X3" s="26" t="s">
        <v>2856</v>
      </c>
      <c r="Y3" s="26" t="s">
        <v>86</v>
      </c>
      <c r="Z3" s="26">
        <v>55600</v>
      </c>
      <c r="AA3" s="26" t="s">
        <v>87</v>
      </c>
      <c r="AB3" s="26" t="s">
        <v>90</v>
      </c>
      <c r="AC3" s="34">
        <v>43452</v>
      </c>
      <c r="AD3" s="26">
        <v>110.59</v>
      </c>
      <c r="AE3" s="26">
        <v>116.04</v>
      </c>
      <c r="AG3" s="22" t="str">
        <f>CONCATENATE($AJ$1,E3,", '",F3,"' , '",G3,"' , ",H3," , ",I3," , ",J3,", ",K3,",'",L3,"', '",M3,"', '",N3,"' , '",O3,"', '",P3,"', '",Q3,"', ",TEXT(R3,"mm-dd-aaaa"),", '",TEXT(S3,"mm-dd-aaaa"),"','", T3,"','",U3,"','",V3,"','",W3,"','",X3,"','",Y3,"','",Z3,"','",AA3,"','",AB3,"','",TEXT(AC3,"mm-dd-aaaa"),"', ",AD3,",'",AE3,"''")</f>
        <v>EXECUTE [dbo].[PG_CI_OPERADOR] 0, 0, 0, 333, 'ALCANTARA ROA, ALBINO ' , '' , 20 , 2 , 0, 2,'ALBINO ', 'ALCANTARA', 'ROA' , 'AARA560301K62', 'AARA560301HMCLXL06', '6755623565', 08-27-2012, '03-01-1956','04455 19761014','','GUARANA','MZ-13','LT-129','SANTA FE HOMEX','55600','ZUMPANGO','MOR05244    B-E','12-18-2018', 110.59,'116.04''</v>
      </c>
      <c r="AH3" s="11"/>
    </row>
    <row r="4" spans="1:36" s="10" customFormat="1" x14ac:dyDescent="0.25">
      <c r="A4" s="18"/>
      <c r="B4" s="19">
        <v>0</v>
      </c>
      <c r="C4" s="19">
        <v>0</v>
      </c>
      <c r="D4" s="19">
        <v>0</v>
      </c>
      <c r="E4" s="28">
        <v>334</v>
      </c>
      <c r="F4" s="20" t="str">
        <f t="shared" ref="F4:F67" si="0">CONCATENATE(M4," ",N4,", ",L4)</f>
        <v xml:space="preserve">ALMEIDA CRUZ, ALADINO </v>
      </c>
      <c r="G4" s="21"/>
      <c r="H4" s="28">
        <v>20</v>
      </c>
      <c r="I4" s="28">
        <v>1</v>
      </c>
      <c r="J4" s="28">
        <v>2</v>
      </c>
      <c r="K4" s="28">
        <v>2</v>
      </c>
      <c r="L4" s="26" t="s">
        <v>2112</v>
      </c>
      <c r="M4" s="26" t="s">
        <v>1698</v>
      </c>
      <c r="N4" s="26" t="s">
        <v>1699</v>
      </c>
      <c r="O4" s="26" t="s">
        <v>2313</v>
      </c>
      <c r="P4" s="26" t="s">
        <v>93</v>
      </c>
      <c r="Q4" s="26">
        <v>67805917761</v>
      </c>
      <c r="R4" s="34">
        <v>40963</v>
      </c>
      <c r="S4" s="34">
        <v>21629</v>
      </c>
      <c r="T4" s="35" t="s">
        <v>95</v>
      </c>
      <c r="U4" s="26"/>
      <c r="V4" s="26" t="s">
        <v>2727</v>
      </c>
      <c r="W4" s="26">
        <v>17</v>
      </c>
      <c r="X4" s="26"/>
      <c r="Y4" s="26" t="s">
        <v>97</v>
      </c>
      <c r="Z4" s="26">
        <v>91809</v>
      </c>
      <c r="AA4" s="26" t="s">
        <v>98</v>
      </c>
      <c r="AB4" s="26" t="s">
        <v>99</v>
      </c>
      <c r="AC4" s="34">
        <v>43471</v>
      </c>
      <c r="AD4" s="26">
        <v>110.59</v>
      </c>
      <c r="AE4" s="26">
        <v>116.04</v>
      </c>
      <c r="AG4" s="22" t="str">
        <f t="shared" ref="AG4:AG67" si="1">CONCATENATE($AJ$1,E4,", '",F4,"' , '",G4,"' , ",H4," , ",I4," , ",J4,", ",K4,",'",L4,"', '",M4,"', '",N4,"' , '",O4,"', '",P4,"', '",Q4,"', ",TEXT(R4,"mm-dd-aaaa"),", '",TEXT(S4,"mm-dd-aaaa"),"','", T4,"','",U4,"','",V4,"','",W4,"','",X4,"','",Y4,"','",Z4,"','",AA4,"','",AB4,"','",TEXT(AC4,"mm-dd-aaaa"),"', ",AD4,",'",AE4,"''")</f>
        <v>EXECUTE [dbo].[PG_CI_OPERADOR] 0, 0, 0, 334, 'ALMEIDA CRUZ, ALADINO ' , '' , 20 , 1 , 2, 2,'ALADINO ', 'ALMEIDA', 'CRUZ' , 'AECA5903202P4', 'AECA590320HVZLRL04', '67805917761', 02-24-2012, '03-20-1959','81 1547 1907','','RIO BLANCO','17','','LOMAS DE REMEDIO II','91809','VERACRUZ','VER101557   E','01-06-2019', 110.59,'116.04''</v>
      </c>
      <c r="AH4" s="11"/>
    </row>
    <row r="5" spans="1:36" s="10" customFormat="1" x14ac:dyDescent="0.25">
      <c r="A5" s="18"/>
      <c r="B5" s="19">
        <v>0</v>
      </c>
      <c r="C5" s="19">
        <v>0</v>
      </c>
      <c r="D5" s="19">
        <v>0</v>
      </c>
      <c r="E5" s="28">
        <v>335</v>
      </c>
      <c r="F5" s="20" t="str">
        <f t="shared" si="0"/>
        <v>ALMEIDA LINALDI, LUIS ANTONIO</v>
      </c>
      <c r="G5" s="21"/>
      <c r="H5" s="28">
        <v>20</v>
      </c>
      <c r="I5" s="28">
        <v>1</v>
      </c>
      <c r="J5" s="28">
        <v>2</v>
      </c>
      <c r="K5" s="28">
        <v>2</v>
      </c>
      <c r="L5" s="26" t="s">
        <v>2113</v>
      </c>
      <c r="M5" s="26" t="s">
        <v>1698</v>
      </c>
      <c r="N5" s="26" t="s">
        <v>1701</v>
      </c>
      <c r="O5" s="26" t="s">
        <v>2314</v>
      </c>
      <c r="P5" s="26" t="s">
        <v>101</v>
      </c>
      <c r="Q5" s="26">
        <v>65987957167</v>
      </c>
      <c r="R5" s="34">
        <v>38637</v>
      </c>
      <c r="S5" s="34">
        <v>28983</v>
      </c>
      <c r="T5" s="35"/>
      <c r="U5" s="26"/>
      <c r="V5" s="26" t="s">
        <v>2729</v>
      </c>
      <c r="W5" s="26" t="s">
        <v>2439</v>
      </c>
      <c r="X5" s="26">
        <v>7</v>
      </c>
      <c r="Y5" s="26" t="s">
        <v>103</v>
      </c>
      <c r="Z5" s="26">
        <v>8500</v>
      </c>
      <c r="AA5" s="26" t="s">
        <v>104</v>
      </c>
      <c r="AB5" s="26" t="s">
        <v>106</v>
      </c>
      <c r="AC5" s="34">
        <v>43471</v>
      </c>
      <c r="AD5" s="26">
        <v>110.59</v>
      </c>
      <c r="AE5" s="26">
        <v>116.35</v>
      </c>
      <c r="AG5" s="22" t="str">
        <f t="shared" si="1"/>
        <v>EXECUTE [dbo].[PG_CI_OPERADOR] 0, 0, 0, 335, 'ALMEIDA LINALDI, LUIS ANTONIO' , '' , 20 , 1 , 2, 2,'LUIS ANTONIO', 'ALMEIDA', 'LINALDI' , 'AELL7905085I3', 'AELL790508HVZLNS17', '65987957167', 10-12-2005, '05-08-1979','','','12','MZ-21','7','MIGUEL HIDALGO','8500','VILLA HERMOSA','VER0122937','01-06-2019', 110.59,'116.35''</v>
      </c>
      <c r="AH5" s="11"/>
    </row>
    <row r="6" spans="1:36" s="10" customFormat="1" x14ac:dyDescent="0.25">
      <c r="A6" s="18"/>
      <c r="B6" s="19">
        <v>0</v>
      </c>
      <c r="C6" s="19">
        <v>0</v>
      </c>
      <c r="D6" s="19">
        <v>0</v>
      </c>
      <c r="E6" s="28">
        <v>336</v>
      </c>
      <c r="F6" s="20" t="str">
        <f t="shared" si="0"/>
        <v>AMAYA FLORES, JUAN FRANCISCO</v>
      </c>
      <c r="G6" s="21"/>
      <c r="H6" s="28">
        <v>20</v>
      </c>
      <c r="I6" s="28">
        <v>1</v>
      </c>
      <c r="J6" s="28">
        <v>0</v>
      </c>
      <c r="K6" s="28">
        <v>2</v>
      </c>
      <c r="L6" s="26" t="s">
        <v>2114</v>
      </c>
      <c r="M6" s="26" t="s">
        <v>1704</v>
      </c>
      <c r="N6" s="26" t="s">
        <v>1705</v>
      </c>
      <c r="O6" s="26" t="s">
        <v>2315</v>
      </c>
      <c r="P6" s="26" t="s">
        <v>108</v>
      </c>
      <c r="Q6" s="26">
        <v>56977836362</v>
      </c>
      <c r="R6" s="34">
        <v>38006</v>
      </c>
      <c r="S6" s="34">
        <v>28633</v>
      </c>
      <c r="T6" s="35"/>
      <c r="U6" s="26"/>
      <c r="V6" s="26" t="s">
        <v>2730</v>
      </c>
      <c r="W6" s="26">
        <v>109</v>
      </c>
      <c r="X6" s="26"/>
      <c r="Y6" s="26" t="s">
        <v>110</v>
      </c>
      <c r="Z6" s="26">
        <v>45600</v>
      </c>
      <c r="AA6" s="26" t="s">
        <v>111</v>
      </c>
      <c r="AB6" s="26"/>
      <c r="AC6" s="34">
        <v>43471</v>
      </c>
      <c r="AD6" s="26">
        <v>110.59</v>
      </c>
      <c r="AE6" s="26">
        <v>116.35</v>
      </c>
      <c r="AG6" s="22" t="str">
        <f t="shared" si="1"/>
        <v>EXECUTE [dbo].[PG_CI_OPERADOR] 0, 0, 0, 336, 'AMAYA FLORES, JUAN FRANCISCO' , '' , 20 , 1 , 0, 2,'JUAN FRANCISCO', 'AMAYA', 'FLORES' , 'AAFJ780523U11', 'AAFJ780523HJCMLN07', '56977836362', 01-20-2004, '05-23-1978','','','VALENTINA CIEN','109','','FRACC. REAL DE TULIPANES','45600','TLAQUEPAQUE','','01-06-2019', 110.59,'116.35''</v>
      </c>
      <c r="AH6" s="11"/>
    </row>
    <row r="7" spans="1:36" s="10" customFormat="1" x14ac:dyDescent="0.25">
      <c r="A7" s="18"/>
      <c r="B7" s="19">
        <v>0</v>
      </c>
      <c r="C7" s="19">
        <v>0</v>
      </c>
      <c r="D7" s="19">
        <v>0</v>
      </c>
      <c r="E7" s="28">
        <v>337</v>
      </c>
      <c r="F7" s="20" t="str">
        <f t="shared" si="0"/>
        <v xml:space="preserve">APODACA MENDOZA, ALEJANDRO </v>
      </c>
      <c r="G7" s="21"/>
      <c r="H7" s="28">
        <v>19</v>
      </c>
      <c r="I7" s="28">
        <v>1</v>
      </c>
      <c r="J7" s="28">
        <v>0</v>
      </c>
      <c r="K7" s="28">
        <v>2</v>
      </c>
      <c r="L7" s="26" t="s">
        <v>2115</v>
      </c>
      <c r="M7" s="26" t="s">
        <v>1708</v>
      </c>
      <c r="N7" s="26" t="s">
        <v>1709</v>
      </c>
      <c r="O7" s="26" t="s">
        <v>2316</v>
      </c>
      <c r="P7" s="26" t="s">
        <v>114</v>
      </c>
      <c r="Q7" s="26">
        <v>92028525548</v>
      </c>
      <c r="R7" s="34">
        <v>37438</v>
      </c>
      <c r="S7" s="34">
        <v>31174</v>
      </c>
      <c r="T7" s="35"/>
      <c r="U7" s="26"/>
      <c r="V7" s="26" t="s">
        <v>2731</v>
      </c>
      <c r="W7" s="26">
        <v>6171</v>
      </c>
      <c r="X7" s="26"/>
      <c r="Y7" s="26" t="s">
        <v>116</v>
      </c>
      <c r="Z7" s="26">
        <v>32690</v>
      </c>
      <c r="AA7" s="26" t="s">
        <v>117</v>
      </c>
      <c r="AB7" s="26"/>
      <c r="AC7" s="34">
        <v>43091</v>
      </c>
      <c r="AD7" s="26">
        <v>213.43</v>
      </c>
      <c r="AE7" s="26">
        <v>224.54</v>
      </c>
      <c r="AG7" s="22" t="str">
        <f t="shared" si="1"/>
        <v>EXECUTE [dbo].[PG_CI_OPERADOR] 0, 0, 0, 337, 'APODACA MENDOZA, ALEJANDRO ' , '' , 19 , 1 , 0, 2,'ALEJANDRO ', 'APODACA', 'MENDOZA' , 'AOMA850507GA2', 'AOMA850507HCHPNL01', '92028525548', 07-01-2002, '05-07-1985','','','MONTES ROCALLOSOS','6171','','LOMAS DE SAN JOSE','32690','CD. JUAREZ','','12-22-2017', 213.43,'224.54''</v>
      </c>
      <c r="AH7" s="11"/>
    </row>
    <row r="8" spans="1:36" s="10" customFormat="1" x14ac:dyDescent="0.25">
      <c r="A8" s="18"/>
      <c r="B8" s="19">
        <v>0</v>
      </c>
      <c r="C8" s="19">
        <v>0</v>
      </c>
      <c r="D8" s="19">
        <v>0</v>
      </c>
      <c r="E8" s="28">
        <v>338</v>
      </c>
      <c r="F8" s="20" t="str">
        <f t="shared" si="0"/>
        <v xml:space="preserve">APODACA MENDOZA, SERGIO </v>
      </c>
      <c r="G8" s="21"/>
      <c r="H8" s="28">
        <v>20</v>
      </c>
      <c r="I8" s="28">
        <v>2</v>
      </c>
      <c r="J8" s="28">
        <v>2</v>
      </c>
      <c r="K8" s="28">
        <v>2</v>
      </c>
      <c r="L8" s="26" t="s">
        <v>2116</v>
      </c>
      <c r="M8" s="26" t="s">
        <v>1708</v>
      </c>
      <c r="N8" s="26" t="s">
        <v>1709</v>
      </c>
      <c r="O8" s="26" t="s">
        <v>2317</v>
      </c>
      <c r="P8" s="26" t="s">
        <v>121</v>
      </c>
      <c r="Q8" s="26">
        <v>33008410426</v>
      </c>
      <c r="R8" s="34">
        <v>42342</v>
      </c>
      <c r="S8" s="34">
        <v>30710</v>
      </c>
      <c r="T8" s="35" t="s">
        <v>122</v>
      </c>
      <c r="U8" s="26"/>
      <c r="V8" s="26" t="s">
        <v>2732</v>
      </c>
      <c r="W8" s="26" t="s">
        <v>2502</v>
      </c>
      <c r="X8" s="26"/>
      <c r="Y8" s="26" t="s">
        <v>124</v>
      </c>
      <c r="Z8" s="26">
        <v>54197</v>
      </c>
      <c r="AA8" s="26" t="s">
        <v>125</v>
      </c>
      <c r="AB8" s="26" t="s">
        <v>126</v>
      </c>
      <c r="AC8" s="34">
        <v>43369</v>
      </c>
      <c r="AD8" s="26">
        <v>110.59</v>
      </c>
      <c r="AE8" s="26">
        <v>115.59</v>
      </c>
      <c r="AG8" s="22" t="str">
        <f t="shared" si="1"/>
        <v>EXECUTE [dbo].[PG_CI_OPERADOR] 0, 0, 0, 338, 'APODACA MENDOZA, SERGIO ' , '' , 20 , 2 , 2, 2,'SERGIO ', 'APODACA', 'MENDOZA' , 'AOMS840129H32', 'AOMS840129HCHPNR04', '33008410426', 12-04-2015, '01-29-1984','614 494 4361','','SAN JUAN','MZ-23','','SAN ISIDRO IXHUATEPEC','54197','TLALNEPANTLA','COAH215161 E','09-26-2018', 110.59,'115.59''</v>
      </c>
      <c r="AH8" s="11"/>
    </row>
    <row r="9" spans="1:36" s="10" customFormat="1" x14ac:dyDescent="0.25">
      <c r="A9" s="18"/>
      <c r="B9" s="19">
        <v>0</v>
      </c>
      <c r="C9" s="19">
        <v>0</v>
      </c>
      <c r="D9" s="19">
        <v>0</v>
      </c>
      <c r="E9" s="28">
        <v>339</v>
      </c>
      <c r="F9" s="20" t="str">
        <f t="shared" si="0"/>
        <v xml:space="preserve">ARGUETA HERNANDEZ, ALFONSO </v>
      </c>
      <c r="G9" s="21"/>
      <c r="H9" s="28">
        <v>20</v>
      </c>
      <c r="I9" s="28">
        <v>1</v>
      </c>
      <c r="J9" s="28">
        <v>2</v>
      </c>
      <c r="K9" s="28">
        <v>2</v>
      </c>
      <c r="L9" s="26" t="s">
        <v>2117</v>
      </c>
      <c r="M9" s="26" t="s">
        <v>1712</v>
      </c>
      <c r="N9" s="26" t="s">
        <v>1713</v>
      </c>
      <c r="O9" s="26" t="s">
        <v>2318</v>
      </c>
      <c r="P9" s="26" t="s">
        <v>128</v>
      </c>
      <c r="Q9" s="26">
        <v>6805502553</v>
      </c>
      <c r="R9" s="34">
        <v>41162</v>
      </c>
      <c r="S9" s="34">
        <v>20403</v>
      </c>
      <c r="T9" s="35" t="s">
        <v>129</v>
      </c>
      <c r="U9" s="26"/>
      <c r="V9" s="26" t="s">
        <v>2442</v>
      </c>
      <c r="W9" s="26" t="s">
        <v>13</v>
      </c>
      <c r="X9" s="26"/>
      <c r="Y9" s="26" t="s">
        <v>131</v>
      </c>
      <c r="Z9" s="26">
        <v>42814</v>
      </c>
      <c r="AA9" s="26" t="s">
        <v>132</v>
      </c>
      <c r="AB9" s="26"/>
      <c r="AC9" s="34">
        <v>42684</v>
      </c>
      <c r="AD9" s="26">
        <v>110.59</v>
      </c>
      <c r="AE9" s="26">
        <v>116.04</v>
      </c>
      <c r="AG9" s="22" t="str">
        <f t="shared" si="1"/>
        <v>EXECUTE [dbo].[PG_CI_OPERADOR] 0, 0, 0, 339, 'ARGUETA HERNANDEZ, ALFONSO ' , '' , 20 , 1 , 2, 2,'ALFONSO ', 'ARGUETA', 'HERNANDEZ' , 'AUHA551110C82', 'AUHA551110HDFRRL01', '6805502553', 09-10-2012, '11-10-1955','01773 1461954','','ROBLE','S/N','','NANTZHA','42814','TULA DE ALLENDE','','11-10-2016', 110.59,'116.04''</v>
      </c>
      <c r="AH9" s="11"/>
    </row>
    <row r="10" spans="1:36" s="10" customFormat="1" x14ac:dyDescent="0.25">
      <c r="A10" s="18"/>
      <c r="B10" s="19">
        <v>0</v>
      </c>
      <c r="C10" s="19">
        <v>0</v>
      </c>
      <c r="D10" s="19">
        <v>0</v>
      </c>
      <c r="E10" s="28">
        <v>340</v>
      </c>
      <c r="F10" s="20" t="str">
        <f t="shared" si="0"/>
        <v xml:space="preserve">ARGUETA VARGAS, FERNANDO </v>
      </c>
      <c r="G10" s="21"/>
      <c r="H10" s="28">
        <v>20</v>
      </c>
      <c r="I10" s="28">
        <v>1</v>
      </c>
      <c r="J10" s="28">
        <v>0</v>
      </c>
      <c r="K10" s="28">
        <v>2</v>
      </c>
      <c r="L10" s="26" t="s">
        <v>2118</v>
      </c>
      <c r="M10" s="26" t="s">
        <v>1712</v>
      </c>
      <c r="N10" s="26" t="s">
        <v>1715</v>
      </c>
      <c r="O10" s="26" t="s">
        <v>2319</v>
      </c>
      <c r="P10" s="26" t="s">
        <v>135</v>
      </c>
      <c r="Q10" s="26">
        <v>71785908964</v>
      </c>
      <c r="R10" s="34">
        <v>38063</v>
      </c>
      <c r="S10" s="34">
        <v>21755</v>
      </c>
      <c r="T10" s="35"/>
      <c r="U10" s="26"/>
      <c r="V10" s="26" t="s">
        <v>2443</v>
      </c>
      <c r="W10" s="26">
        <v>209</v>
      </c>
      <c r="X10" s="26"/>
      <c r="Y10" s="26" t="s">
        <v>137</v>
      </c>
      <c r="Z10" s="26">
        <v>45400</v>
      </c>
      <c r="AA10" s="26" t="s">
        <v>138</v>
      </c>
      <c r="AB10" s="26"/>
      <c r="AC10" s="34">
        <v>43125</v>
      </c>
      <c r="AD10" s="26">
        <v>110.59</v>
      </c>
      <c r="AE10" s="26">
        <v>116.35</v>
      </c>
      <c r="AG10" s="22" t="str">
        <f t="shared" si="1"/>
        <v>EXECUTE [dbo].[PG_CI_OPERADOR] 0, 0, 0, 340, 'ARGUETA VARGAS, FERNANDO ' , '' , 20 , 1 , 0, 2,'FERNANDO ', 'ARGUETA', 'VARGAS' , 'AUVF590724KP8', 'AUVF590724HCSRRR06', '71785908964', 03-17-2004, '07-24-1959','','','COLON','209','','TONALA SUR','45400','TONALA','','01-25-2018', 110.59,'116.35''</v>
      </c>
      <c r="AH10" s="11"/>
    </row>
    <row r="11" spans="1:36" s="10" customFormat="1" x14ac:dyDescent="0.25">
      <c r="A11" s="18"/>
      <c r="B11" s="19">
        <v>0</v>
      </c>
      <c r="C11" s="19">
        <v>0</v>
      </c>
      <c r="D11" s="19">
        <v>0</v>
      </c>
      <c r="E11" s="28">
        <v>341</v>
      </c>
      <c r="F11" s="20" t="str">
        <f t="shared" si="0"/>
        <v>AVILA RODRIGUEZ, JAVIER ANTONIO</v>
      </c>
      <c r="G11" s="21"/>
      <c r="H11" s="28">
        <v>20</v>
      </c>
      <c r="I11" s="28">
        <v>1</v>
      </c>
      <c r="J11" s="28">
        <v>2</v>
      </c>
      <c r="K11" s="28">
        <v>2</v>
      </c>
      <c r="L11" s="26" t="s">
        <v>2119</v>
      </c>
      <c r="M11" s="26" t="s">
        <v>1717</v>
      </c>
      <c r="N11" s="26" t="s">
        <v>1718</v>
      </c>
      <c r="O11" s="26" t="s">
        <v>2320</v>
      </c>
      <c r="P11" s="26" t="s">
        <v>140</v>
      </c>
      <c r="Q11" s="26">
        <v>43937014173</v>
      </c>
      <c r="R11" s="34">
        <v>42006</v>
      </c>
      <c r="S11" s="34">
        <v>25581</v>
      </c>
      <c r="T11" s="35" t="s">
        <v>141</v>
      </c>
      <c r="U11" s="26"/>
      <c r="V11" s="26" t="s">
        <v>2444</v>
      </c>
      <c r="W11" s="26">
        <v>98</v>
      </c>
      <c r="X11" s="26"/>
      <c r="Y11" s="26" t="s">
        <v>143</v>
      </c>
      <c r="Z11" s="26">
        <v>73780</v>
      </c>
      <c r="AA11" s="26" t="s">
        <v>144</v>
      </c>
      <c r="AB11" s="26" t="s">
        <v>146</v>
      </c>
      <c r="AC11" s="34">
        <v>43471</v>
      </c>
      <c r="AD11" s="26">
        <v>110.59</v>
      </c>
      <c r="AE11" s="26">
        <v>115.59</v>
      </c>
      <c r="AG11" s="22" t="str">
        <f t="shared" si="1"/>
        <v>EXECUTE [dbo].[PG_CI_OPERADOR] 0, 0, 0, 341, 'AVILA RODRIGUEZ, JAVIER ANTONIO' , '' , 20 , 1 , 2, 2,'JAVIER ANTONIO', 'AVILA', 'RODRIGUEZ' , 'AIRJ700113MEA', 'AIRJ700113HPLVDV03', '43937014173', 01-02-2015, '01-13-1970','871 160 6836','','GUERREO','98','','BARRIO DE SAN MIGUEL','73780','LIBRES','PUE0004119    E','01-06-2019', 110.59,'115.59''</v>
      </c>
      <c r="AH11" s="11"/>
    </row>
    <row r="12" spans="1:36" s="10" customFormat="1" x14ac:dyDescent="0.25">
      <c r="A12" s="18"/>
      <c r="B12" s="19">
        <v>0</v>
      </c>
      <c r="C12" s="19">
        <v>0</v>
      </c>
      <c r="D12" s="19">
        <v>0</v>
      </c>
      <c r="E12" s="28">
        <v>342</v>
      </c>
      <c r="F12" s="20" t="str">
        <f t="shared" si="0"/>
        <v xml:space="preserve">AYALA OSUNA, ROSARIO </v>
      </c>
      <c r="G12" s="21"/>
      <c r="H12" s="28">
        <v>7</v>
      </c>
      <c r="I12" s="28">
        <v>1</v>
      </c>
      <c r="J12" s="28">
        <v>2</v>
      </c>
      <c r="K12" s="28">
        <v>2</v>
      </c>
      <c r="L12" s="26" t="s">
        <v>2120</v>
      </c>
      <c r="M12" s="26" t="s">
        <v>1720</v>
      </c>
      <c r="N12" s="26" t="s">
        <v>1721</v>
      </c>
      <c r="O12" s="26" t="s">
        <v>2321</v>
      </c>
      <c r="P12" s="26" t="s">
        <v>148</v>
      </c>
      <c r="Q12" s="26">
        <v>23846428169</v>
      </c>
      <c r="R12" s="34">
        <v>41478</v>
      </c>
      <c r="S12" s="34">
        <v>23484</v>
      </c>
      <c r="T12" s="35" t="s">
        <v>149</v>
      </c>
      <c r="U12" s="26"/>
      <c r="V12" s="26" t="s">
        <v>2733</v>
      </c>
      <c r="W12" s="26">
        <v>2228</v>
      </c>
      <c r="X12" s="26"/>
      <c r="Y12" s="26" t="s">
        <v>151</v>
      </c>
      <c r="Z12" s="26">
        <v>81371</v>
      </c>
      <c r="AA12" s="26" t="s">
        <v>152</v>
      </c>
      <c r="AB12" s="26" t="s">
        <v>154</v>
      </c>
      <c r="AC12" s="34">
        <v>42056</v>
      </c>
      <c r="AD12" s="26">
        <v>110.59</v>
      </c>
      <c r="AE12" s="26">
        <v>115.89</v>
      </c>
      <c r="AG12" s="22" t="str">
        <f t="shared" si="1"/>
        <v>EXECUTE [dbo].[PG_CI_OPERADOR] 0, 0, 0, 342, 'AYALA OSUNA, ROSARIO ' , '' , 7 , 1 , 2, 2,'ROSARIO ', 'AYALA', 'OSUNA' , 'AAOR6404178B7', 'AAOR640417HSLYSS04', '23846428169', 07-23-2013, '04-17-1964','668 813 3735','','SANTA YOLANDA','2228','','FRACC. SAN JOSE LOS MOCHIS','81371','AHOME','SIN101901    E','02-21-2015', 110.59,'115.89''</v>
      </c>
      <c r="AH12" s="11"/>
    </row>
    <row r="13" spans="1:36" s="10" customFormat="1" x14ac:dyDescent="0.25">
      <c r="A13" s="18"/>
      <c r="B13" s="19">
        <v>0</v>
      </c>
      <c r="C13" s="19">
        <v>0</v>
      </c>
      <c r="D13" s="19">
        <v>0</v>
      </c>
      <c r="E13" s="28">
        <v>343</v>
      </c>
      <c r="F13" s="20" t="str">
        <f t="shared" si="0"/>
        <v xml:space="preserve">BLANCAS RAMIREZ, DAVID </v>
      </c>
      <c r="G13" s="21"/>
      <c r="H13" s="28">
        <v>7</v>
      </c>
      <c r="I13" s="28">
        <v>1</v>
      </c>
      <c r="J13" s="28">
        <v>0</v>
      </c>
      <c r="K13" s="28">
        <v>2</v>
      </c>
      <c r="L13" s="26" t="s">
        <v>2121</v>
      </c>
      <c r="M13" s="26" t="s">
        <v>1723</v>
      </c>
      <c r="N13" s="26" t="s">
        <v>1724</v>
      </c>
      <c r="O13" s="26" t="s">
        <v>2322</v>
      </c>
      <c r="P13" s="26" t="s">
        <v>156</v>
      </c>
      <c r="Q13" s="26">
        <v>24846825321</v>
      </c>
      <c r="R13" s="34">
        <v>37340</v>
      </c>
      <c r="S13" s="34">
        <v>25027</v>
      </c>
      <c r="T13" s="35" t="s">
        <v>157</v>
      </c>
      <c r="U13" s="26"/>
      <c r="V13" s="26" t="s">
        <v>2445</v>
      </c>
      <c r="W13" s="26">
        <v>1029</v>
      </c>
      <c r="X13" s="26"/>
      <c r="Y13" s="26" t="s">
        <v>159</v>
      </c>
      <c r="Z13" s="26">
        <v>84000</v>
      </c>
      <c r="AA13" s="26" t="s">
        <v>160</v>
      </c>
      <c r="AB13" s="26"/>
      <c r="AC13" s="34">
        <v>42684</v>
      </c>
      <c r="AD13" s="26">
        <v>110.59</v>
      </c>
      <c r="AE13" s="26">
        <v>116.35</v>
      </c>
      <c r="AG13" s="22" t="str">
        <f t="shared" si="1"/>
        <v>EXECUTE [dbo].[PG_CI_OPERADOR] 0, 0, 0, 343, 'BLANCAS RAMIREZ, DAVID ' , '' , 7 , 1 , 0, 2,'DAVID ', 'BLANCAS', 'RAMIREZ' , 'BARD680708394', 'BARD680708HSRLMV06', '24846825321', 03-25-2002, '07-08-1968','045 644 15 76 229','','AOAHUILA','1029','','FRACC. VILLA BONITA','84000','NOGALES','','11-10-2016', 110.59,'116.35''</v>
      </c>
      <c r="AH13" s="11"/>
    </row>
    <row r="14" spans="1:36" s="10" customFormat="1" x14ac:dyDescent="0.25">
      <c r="A14" s="18"/>
      <c r="B14" s="19">
        <v>0</v>
      </c>
      <c r="C14" s="19">
        <v>0</v>
      </c>
      <c r="D14" s="19">
        <v>0</v>
      </c>
      <c r="E14" s="28">
        <v>344</v>
      </c>
      <c r="F14" s="20" t="str">
        <f t="shared" si="0"/>
        <v>BUSTOS TAPIA, JOSE ANDRES</v>
      </c>
      <c r="G14" s="21"/>
      <c r="H14" s="28">
        <v>20</v>
      </c>
      <c r="I14" s="28">
        <v>2</v>
      </c>
      <c r="J14" s="28">
        <v>0</v>
      </c>
      <c r="K14" s="28">
        <v>2</v>
      </c>
      <c r="L14" s="26" t="s">
        <v>2122</v>
      </c>
      <c r="M14" s="26" t="s">
        <v>1726</v>
      </c>
      <c r="N14" s="26" t="s">
        <v>1727</v>
      </c>
      <c r="O14" s="26" t="s">
        <v>2323</v>
      </c>
      <c r="P14" s="26" t="s">
        <v>163</v>
      </c>
      <c r="Q14" s="26">
        <v>1796183661</v>
      </c>
      <c r="R14" s="34">
        <v>40686</v>
      </c>
      <c r="S14" s="34">
        <v>22316</v>
      </c>
      <c r="T14" s="35" t="s">
        <v>164</v>
      </c>
      <c r="U14" s="26"/>
      <c r="V14" s="26" t="s">
        <v>2446</v>
      </c>
      <c r="W14" s="26" t="s">
        <v>2447</v>
      </c>
      <c r="X14" s="26" t="s">
        <v>2448</v>
      </c>
      <c r="Y14" s="26" t="s">
        <v>166</v>
      </c>
      <c r="Z14" s="26">
        <v>55230</v>
      </c>
      <c r="AA14" s="26" t="s">
        <v>167</v>
      </c>
      <c r="AB14" s="26" t="s">
        <v>168</v>
      </c>
      <c r="AC14" s="34">
        <v>43140</v>
      </c>
      <c r="AD14" s="26">
        <v>110.59</v>
      </c>
      <c r="AE14" s="26">
        <v>116.19</v>
      </c>
      <c r="AG14" s="22" t="str">
        <f t="shared" si="1"/>
        <v>EXECUTE [dbo].[PG_CI_OPERADOR] 0, 0, 0, 344, 'BUSTOS TAPIA, JOSE ANDRES' , '' , 20 , 2 , 0, 2,'JOSE ANDRES', 'BUSTOS', 'TAPIA' , 'BUTA610204AM2', 'BUTA610204HDFSPN05', '1796183661', 05-23-2011, '02-04-1961','2646 2934','','VENADOS','MZ-3','LT-10','POLIGONO 3','55230','ECATEPEC','VER0120890   E','02-09-2018', 110.59,'116.19''</v>
      </c>
      <c r="AH14" s="11"/>
    </row>
    <row r="15" spans="1:36" s="10" customFormat="1" x14ac:dyDescent="0.25">
      <c r="A15" s="18"/>
      <c r="B15" s="19">
        <v>0</v>
      </c>
      <c r="C15" s="19">
        <v>0</v>
      </c>
      <c r="D15" s="19">
        <v>0</v>
      </c>
      <c r="E15" s="28">
        <v>345</v>
      </c>
      <c r="F15" s="20" t="str">
        <f t="shared" si="0"/>
        <v xml:space="preserve">CARBAJAL TORRES, EDMUNDO </v>
      </c>
      <c r="G15" s="21"/>
      <c r="H15" s="28">
        <v>19</v>
      </c>
      <c r="I15" s="28">
        <v>1</v>
      </c>
      <c r="J15" s="28">
        <v>2</v>
      </c>
      <c r="K15" s="28">
        <v>2</v>
      </c>
      <c r="L15" s="26" t="s">
        <v>2123</v>
      </c>
      <c r="M15" s="26" t="s">
        <v>1730</v>
      </c>
      <c r="N15" s="26" t="s">
        <v>1731</v>
      </c>
      <c r="O15" s="26" t="s">
        <v>2324</v>
      </c>
      <c r="P15" s="26" t="s">
        <v>170</v>
      </c>
      <c r="Q15" s="26">
        <v>33846133412</v>
      </c>
      <c r="R15" s="34">
        <v>41962</v>
      </c>
      <c r="S15" s="34">
        <v>22466</v>
      </c>
      <c r="T15" s="35" t="s">
        <v>171</v>
      </c>
      <c r="U15" s="26"/>
      <c r="V15" s="26" t="s">
        <v>2734</v>
      </c>
      <c r="W15" s="26">
        <v>168</v>
      </c>
      <c r="X15" s="26"/>
      <c r="Y15" s="26" t="s">
        <v>173</v>
      </c>
      <c r="Z15" s="26">
        <v>31107</v>
      </c>
      <c r="AA15" s="26" t="s">
        <v>118</v>
      </c>
      <c r="AB15" s="26" t="s">
        <v>174</v>
      </c>
      <c r="AC15" s="34">
        <v>42023</v>
      </c>
      <c r="AD15" s="26">
        <v>110.59</v>
      </c>
      <c r="AE15" s="26">
        <v>115.59</v>
      </c>
      <c r="AG15" s="22" t="str">
        <f t="shared" si="1"/>
        <v>EXECUTE [dbo].[PG_CI_OPERADOR] 0, 0, 0, 345, 'CARBAJAL TORRES, EDMUNDO ' , '' , 19 , 1 , 2, 2,'EDMUNDO ', 'CARBAJAL', 'TORRES' , 'CATE610704CX9', 'CATE610704HCHRRD01', '33846133412', 11-19-2014, '07-04-1961','614 421 4501','','CIUDAD CAMARGO','168','','REVOLUCION','31107','CHIHUAHUA','CHIH101196    B-E','01-19-2015', 110.59,'115.59''</v>
      </c>
      <c r="AH15" s="11"/>
    </row>
    <row r="16" spans="1:36" s="10" customFormat="1" x14ac:dyDescent="0.25">
      <c r="A16" s="18"/>
      <c r="B16" s="19">
        <v>0</v>
      </c>
      <c r="C16" s="19">
        <v>0</v>
      </c>
      <c r="D16" s="19">
        <v>0</v>
      </c>
      <c r="E16" s="28">
        <v>346</v>
      </c>
      <c r="F16" s="20" t="str">
        <f t="shared" si="0"/>
        <v xml:space="preserve">CARRILLO ALVAREZ, GERARDO </v>
      </c>
      <c r="G16" s="21"/>
      <c r="H16" s="28">
        <v>17</v>
      </c>
      <c r="I16" s="28">
        <v>1</v>
      </c>
      <c r="J16" s="28">
        <v>2</v>
      </c>
      <c r="K16" s="28">
        <v>2</v>
      </c>
      <c r="L16" s="26" t="s">
        <v>2124</v>
      </c>
      <c r="M16" s="26" t="s">
        <v>1733</v>
      </c>
      <c r="N16" s="26" t="s">
        <v>1734</v>
      </c>
      <c r="O16" s="26" t="s">
        <v>2325</v>
      </c>
      <c r="P16" s="26" t="s">
        <v>176</v>
      </c>
      <c r="Q16" s="26">
        <v>31846615727</v>
      </c>
      <c r="R16" s="34">
        <v>41601</v>
      </c>
      <c r="S16" s="34">
        <v>24297</v>
      </c>
      <c r="T16" s="35" t="s">
        <v>177</v>
      </c>
      <c r="U16" s="26"/>
      <c r="V16" s="26" t="s">
        <v>2735</v>
      </c>
      <c r="W16" s="26" t="s">
        <v>2450</v>
      </c>
      <c r="X16" s="26"/>
      <c r="Y16" s="26" t="s">
        <v>179</v>
      </c>
      <c r="Z16" s="26">
        <v>22253</v>
      </c>
      <c r="AA16" s="26" t="s">
        <v>180</v>
      </c>
      <c r="AB16" s="26"/>
      <c r="AC16" s="34">
        <v>42684</v>
      </c>
      <c r="AD16" s="26">
        <v>110.59</v>
      </c>
      <c r="AE16" s="26">
        <v>115.59</v>
      </c>
      <c r="AG16" s="22" t="str">
        <f t="shared" si="1"/>
        <v>EXECUTE [dbo].[PG_CI_OPERADOR] 0, 0, 0, 346, 'CARRILLO ALVAREZ, GERARDO ' , '' , 17 , 1 , 2, 2,'GERARDO ', 'CARRILLO', 'ALVAREZ' , 'CAAG660709FC8', 'CAAG660709HDGRLR03', '31846615727', 11-23-2013, '07-09-1966','045 618 147 8131','','PRIVADA DE LOS TULIPANES','26082-90','','FRACCIONAMIENTO EL REFUGIO','22253','TIJUANA','','11-10-2016', 110.59,'115.59''</v>
      </c>
      <c r="AH16" s="11"/>
    </row>
    <row r="17" spans="1:34" s="10" customFormat="1" x14ac:dyDescent="0.25">
      <c r="A17" s="18"/>
      <c r="B17" s="19">
        <v>0</v>
      </c>
      <c r="C17" s="19">
        <v>0</v>
      </c>
      <c r="D17" s="19">
        <v>0</v>
      </c>
      <c r="E17" s="28">
        <v>347</v>
      </c>
      <c r="F17" s="20" t="str">
        <f t="shared" si="0"/>
        <v xml:space="preserve">CARRILLO CASTRO, OSCAR </v>
      </c>
      <c r="G17" s="21"/>
      <c r="H17" s="28">
        <v>23</v>
      </c>
      <c r="I17" s="28">
        <v>1</v>
      </c>
      <c r="J17" s="28">
        <v>2</v>
      </c>
      <c r="K17" s="28">
        <v>2</v>
      </c>
      <c r="L17" s="26" t="s">
        <v>2125</v>
      </c>
      <c r="M17" s="26" t="s">
        <v>1733</v>
      </c>
      <c r="N17" s="26" t="s">
        <v>1736</v>
      </c>
      <c r="O17" s="26" t="s">
        <v>2326</v>
      </c>
      <c r="P17" s="26" t="s">
        <v>183</v>
      </c>
      <c r="Q17" s="26">
        <v>24886911684</v>
      </c>
      <c r="R17" s="34">
        <v>42347</v>
      </c>
      <c r="S17" s="34">
        <v>25237</v>
      </c>
      <c r="T17" s="35">
        <v>6441992603</v>
      </c>
      <c r="U17" s="26"/>
      <c r="V17" s="26" t="s">
        <v>2736</v>
      </c>
      <c r="W17" s="26">
        <v>714</v>
      </c>
      <c r="X17" s="26"/>
      <c r="Y17" s="26" t="s">
        <v>185</v>
      </c>
      <c r="Z17" s="26">
        <v>85136</v>
      </c>
      <c r="AA17" s="26" t="s">
        <v>186</v>
      </c>
      <c r="AB17" s="26"/>
      <c r="AC17" s="34">
        <v>42684</v>
      </c>
      <c r="AD17" s="26">
        <v>110.59</v>
      </c>
      <c r="AE17" s="26">
        <v>115.59</v>
      </c>
      <c r="AG17" s="22" t="str">
        <f t="shared" si="1"/>
        <v>EXECUTE [dbo].[PG_CI_OPERADOR] 0, 0, 0, 347, 'CARRILLO CASTRO, OSCAR ' , '' , 23 , 1 , 2, 2,'OSCAR ', 'CARRILLO', 'CASTRO' , 'CACX690203FN1', 'CXCO690203HSRRSS09', '24886911684', 12-09-2015, '02-03-1969','6441992603','','REYES DE INGLATERRA','714','','VILLA DEL REY','85136','CD. OBREGON','','11-10-2016', 110.59,'115.59''</v>
      </c>
      <c r="AH17" s="11"/>
    </row>
    <row r="18" spans="1:34" s="10" customFormat="1" x14ac:dyDescent="0.25">
      <c r="A18" s="18"/>
      <c r="B18" s="19">
        <v>0</v>
      </c>
      <c r="C18" s="19">
        <v>0</v>
      </c>
      <c r="D18" s="19">
        <v>0</v>
      </c>
      <c r="E18" s="28">
        <v>348</v>
      </c>
      <c r="F18" s="20" t="str">
        <f t="shared" si="0"/>
        <v>CASARRUBIAS DIAZ, JOSE MANUEL</v>
      </c>
      <c r="G18" s="21"/>
      <c r="H18" s="28">
        <v>20</v>
      </c>
      <c r="I18" s="28">
        <v>1</v>
      </c>
      <c r="J18" s="28">
        <v>2</v>
      </c>
      <c r="K18" s="28">
        <v>2</v>
      </c>
      <c r="L18" s="26" t="s">
        <v>2126</v>
      </c>
      <c r="M18" s="26" t="s">
        <v>1738</v>
      </c>
      <c r="N18" s="26" t="s">
        <v>1739</v>
      </c>
      <c r="O18" s="26" t="s">
        <v>2327</v>
      </c>
      <c r="P18" s="26" t="s">
        <v>188</v>
      </c>
      <c r="Q18" s="26">
        <v>72887109352</v>
      </c>
      <c r="R18" s="34">
        <v>41379</v>
      </c>
      <c r="S18" s="34">
        <v>26009</v>
      </c>
      <c r="T18" s="35" t="s">
        <v>189</v>
      </c>
      <c r="U18" s="26"/>
      <c r="V18" s="26" t="s">
        <v>2737</v>
      </c>
      <c r="W18" s="26">
        <v>164</v>
      </c>
      <c r="X18" s="26"/>
      <c r="Y18" s="26" t="s">
        <v>191</v>
      </c>
      <c r="Z18" s="26">
        <v>39760</v>
      </c>
      <c r="AA18" s="26" t="s">
        <v>192</v>
      </c>
      <c r="AB18" s="26" t="s">
        <v>194</v>
      </c>
      <c r="AC18" s="34">
        <v>43471</v>
      </c>
      <c r="AD18" s="26">
        <v>110.59</v>
      </c>
      <c r="AE18" s="26">
        <v>115.89</v>
      </c>
      <c r="AG18" s="22" t="str">
        <f t="shared" si="1"/>
        <v>EXECUTE [dbo].[PG_CI_OPERADOR] 0, 0, 0, 348, 'CASARRUBIAS DIAZ, JOSE MANUEL' , '' , 20 , 1 , 2, 2,'JOSE MANUEL', 'CASARRUBIAS', 'DIAZ' , 'CADM7103171Q7', 'CADM710317HGRSZN13', '72887109352', 04-15-2013, '03-17-1971','01744 405 0975','','JUAN N. ALVAREZ','164','','VICENTE GUERRERO','39760','ACAPULCO','GRO03509    B E','01-06-2019', 110.59,'115.89''</v>
      </c>
      <c r="AH18" s="11"/>
    </row>
    <row r="19" spans="1:34" s="10" customFormat="1" x14ac:dyDescent="0.25">
      <c r="A19" s="18"/>
      <c r="B19" s="19">
        <v>0</v>
      </c>
      <c r="C19" s="19">
        <v>0</v>
      </c>
      <c r="D19" s="19">
        <v>0</v>
      </c>
      <c r="E19" s="28">
        <v>349</v>
      </c>
      <c r="F19" s="20" t="str">
        <f t="shared" si="0"/>
        <v xml:space="preserve">CASAS HERNANDEZ, IGNACIO </v>
      </c>
      <c r="G19" s="21"/>
      <c r="H19" s="28">
        <v>20</v>
      </c>
      <c r="I19" s="28">
        <v>1</v>
      </c>
      <c r="J19" s="28">
        <v>2</v>
      </c>
      <c r="K19" s="28">
        <v>2</v>
      </c>
      <c r="L19" s="26" t="s">
        <v>2127</v>
      </c>
      <c r="M19" s="26" t="s">
        <v>1741</v>
      </c>
      <c r="N19" s="26" t="s">
        <v>1713</v>
      </c>
      <c r="O19" s="26" t="s">
        <v>2328</v>
      </c>
      <c r="P19" s="26" t="s">
        <v>196</v>
      </c>
      <c r="Q19" s="26">
        <v>13877111107</v>
      </c>
      <c r="R19" s="34">
        <v>41537</v>
      </c>
      <c r="S19" s="34">
        <v>26424</v>
      </c>
      <c r="T19" s="35">
        <v>7717913100</v>
      </c>
      <c r="U19" s="26"/>
      <c r="V19" s="26" t="s">
        <v>2738</v>
      </c>
      <c r="W19" s="26" t="s">
        <v>2452</v>
      </c>
      <c r="X19" s="26" t="s">
        <v>2453</v>
      </c>
      <c r="Y19" s="26" t="s">
        <v>198</v>
      </c>
      <c r="Z19" s="26">
        <v>42186</v>
      </c>
      <c r="AA19" s="26" t="s">
        <v>199</v>
      </c>
      <c r="AB19" s="26" t="s">
        <v>200</v>
      </c>
      <c r="AC19" s="34">
        <v>43471</v>
      </c>
      <c r="AD19" s="26">
        <v>110.59</v>
      </c>
      <c r="AE19" s="26">
        <v>115.89</v>
      </c>
      <c r="AG19" s="22" t="str">
        <f t="shared" si="1"/>
        <v>EXECUTE [dbo].[PG_CI_OPERADOR] 0, 0, 0, 349, 'CASAS HERNANDEZ, IGNACIO ' , '' , 20 , 1 , 2, 2,'IGNACIO ', 'CASAS', 'HERNANDEZ' , 'CAHI720505H10', 'CAHI720505HHGSRG02', '13877111107', 09-20-2013, '05-05-1972','7717913100','','SANTA JULIA','MZ-53','LT-3','FRACC. LA PROVIDENCIA','42186','MINERAL DE LA REFORMA','TAMP303753   B-E','01-06-2019', 110.59,'115.89''</v>
      </c>
      <c r="AH19" s="11"/>
    </row>
    <row r="20" spans="1:34" s="10" customFormat="1" x14ac:dyDescent="0.25">
      <c r="A20" s="18"/>
      <c r="B20" s="19">
        <v>0</v>
      </c>
      <c r="C20" s="19">
        <v>0</v>
      </c>
      <c r="D20" s="19">
        <v>0</v>
      </c>
      <c r="E20" s="28">
        <v>350</v>
      </c>
      <c r="F20" s="20" t="str">
        <f t="shared" si="0"/>
        <v>CASAS HERNANDEZ, JUAN GABRIEL</v>
      </c>
      <c r="G20" s="21"/>
      <c r="H20" s="28">
        <v>20</v>
      </c>
      <c r="I20" s="28">
        <v>2</v>
      </c>
      <c r="J20" s="28">
        <v>3</v>
      </c>
      <c r="K20" s="28">
        <v>2</v>
      </c>
      <c r="L20" s="26" t="s">
        <v>2128</v>
      </c>
      <c r="M20" s="26" t="s">
        <v>1741</v>
      </c>
      <c r="N20" s="26" t="s">
        <v>1713</v>
      </c>
      <c r="O20" s="26" t="s">
        <v>2329</v>
      </c>
      <c r="P20" s="26" t="s">
        <v>203</v>
      </c>
      <c r="Q20" s="26">
        <v>13937504770</v>
      </c>
      <c r="R20" s="34">
        <v>41950</v>
      </c>
      <c r="S20" s="34">
        <v>27775</v>
      </c>
      <c r="T20" s="35" t="s">
        <v>205</v>
      </c>
      <c r="U20" s="26"/>
      <c r="V20" s="26" t="s">
        <v>2739</v>
      </c>
      <c r="W20" s="26">
        <v>9</v>
      </c>
      <c r="X20" s="26"/>
      <c r="Y20" s="26" t="s">
        <v>207</v>
      </c>
      <c r="Z20" s="26">
        <v>86410</v>
      </c>
      <c r="AA20" s="26" t="s">
        <v>208</v>
      </c>
      <c r="AB20" s="26" t="s">
        <v>209</v>
      </c>
      <c r="AC20" s="34">
        <v>42901</v>
      </c>
      <c r="AD20" s="26">
        <v>110.59</v>
      </c>
      <c r="AE20" s="26">
        <v>115.59</v>
      </c>
      <c r="AG20" s="22" t="str">
        <f t="shared" si="1"/>
        <v>EXECUTE [dbo].[PG_CI_OPERADOR] 0, 0, 0, 350, 'CASAS HERNANDEZ, JUAN GABRIEL' , '' , 20 , 2 , 3, 2,'JUAN GABRIEL', 'CASAS', 'HERNANDEZ' , 'CAHJ760116P2A', 'CAHJ760116HHGSRN09', '13937504770', 11-07-2014, '01-16-1976','922 1612 334','','JOSE TORRES ALOR','9','','5 DE MAYO LA VENTA','86410','HUIMANGUILLO','TAMP304317    B-E','06-15-2017', 110.59,'115.59''</v>
      </c>
      <c r="AH20" s="11"/>
    </row>
    <row r="21" spans="1:34" s="10" customFormat="1" x14ac:dyDescent="0.25">
      <c r="A21" s="18"/>
      <c r="B21" s="19">
        <v>0</v>
      </c>
      <c r="C21" s="19">
        <v>0</v>
      </c>
      <c r="D21" s="19">
        <v>0</v>
      </c>
      <c r="E21" s="28">
        <v>351</v>
      </c>
      <c r="F21" s="20" t="str">
        <f t="shared" si="0"/>
        <v xml:space="preserve">CASAS HERNANDEZ, REYES </v>
      </c>
      <c r="G21" s="21"/>
      <c r="H21" s="28">
        <v>20</v>
      </c>
      <c r="I21" s="28">
        <v>1</v>
      </c>
      <c r="J21" s="28">
        <v>3</v>
      </c>
      <c r="K21" s="28">
        <v>2</v>
      </c>
      <c r="L21" s="26" t="s">
        <v>2129</v>
      </c>
      <c r="M21" s="26" t="s">
        <v>1741</v>
      </c>
      <c r="N21" s="26" t="s">
        <v>1713</v>
      </c>
      <c r="O21" s="26" t="s">
        <v>2330</v>
      </c>
      <c r="P21" s="26" t="s">
        <v>211</v>
      </c>
      <c r="Q21" s="26">
        <v>13068308553</v>
      </c>
      <c r="R21" s="34">
        <v>41636</v>
      </c>
      <c r="S21" s="34">
        <v>30322</v>
      </c>
      <c r="T21" s="35" t="s">
        <v>212</v>
      </c>
      <c r="U21" s="26"/>
      <c r="V21" s="26" t="s">
        <v>2738</v>
      </c>
      <c r="W21" s="26" t="s">
        <v>2452</v>
      </c>
      <c r="X21" s="26" t="s">
        <v>2453</v>
      </c>
      <c r="Y21" s="26" t="s">
        <v>213</v>
      </c>
      <c r="Z21" s="26">
        <v>42180</v>
      </c>
      <c r="AA21" s="26" t="s">
        <v>199</v>
      </c>
      <c r="AB21" s="26" t="s">
        <v>214</v>
      </c>
      <c r="AC21" s="34">
        <v>43471</v>
      </c>
      <c r="AD21" s="26">
        <v>110.59</v>
      </c>
      <c r="AE21" s="26">
        <v>115.59</v>
      </c>
      <c r="AG21" s="22" t="str">
        <f t="shared" si="1"/>
        <v>EXECUTE [dbo].[PG_CI_OPERADOR] 0, 0, 0, 351, 'CASAS HERNANDEZ, REYES ' , '' , 20 , 1 , 3, 2,'REYES ', 'CASAS', 'HERNANDEZ' , 'CAHR830106G31', 'CAHR830106HHGSRY03', '13068308553', 12-28-2013, '01-06-1983','771 791 3101','','SANTA JULIA','MZ-53','LT-3','COL. PROVIDENCIA','42180','MINERAL DE LA REFORMA','VER131153    B-E','01-06-2019', 110.59,'115.59''</v>
      </c>
      <c r="AH21" s="11"/>
    </row>
    <row r="22" spans="1:34" s="10" customFormat="1" x14ac:dyDescent="0.25">
      <c r="A22" s="18"/>
      <c r="B22" s="19">
        <v>0</v>
      </c>
      <c r="C22" s="19">
        <v>0</v>
      </c>
      <c r="D22" s="19">
        <v>0</v>
      </c>
      <c r="E22" s="28">
        <v>352</v>
      </c>
      <c r="F22" s="20" t="str">
        <f t="shared" si="0"/>
        <v>CASTILLO TREVIZO, JULIO CESAR</v>
      </c>
      <c r="G22" s="21"/>
      <c r="H22" s="28">
        <v>19</v>
      </c>
      <c r="I22" s="28">
        <v>2</v>
      </c>
      <c r="J22" s="28">
        <v>0</v>
      </c>
      <c r="K22" s="28">
        <v>2</v>
      </c>
      <c r="L22" s="26" t="s">
        <v>2130</v>
      </c>
      <c r="M22" s="26" t="s">
        <v>1745</v>
      </c>
      <c r="N22" s="26" t="s">
        <v>1746</v>
      </c>
      <c r="O22" s="26" t="s">
        <v>2331</v>
      </c>
      <c r="P22" s="26" t="s">
        <v>216</v>
      </c>
      <c r="Q22" s="26">
        <v>33068797779</v>
      </c>
      <c r="R22" s="34">
        <v>39419</v>
      </c>
      <c r="S22" s="34">
        <v>31850</v>
      </c>
      <c r="T22" s="35"/>
      <c r="U22" s="26"/>
      <c r="V22" s="26" t="s">
        <v>2740</v>
      </c>
      <c r="W22" s="26">
        <v>15516</v>
      </c>
      <c r="X22" s="26"/>
      <c r="Y22" s="26" t="s">
        <v>218</v>
      </c>
      <c r="Z22" s="26">
        <v>31109</v>
      </c>
      <c r="AA22" s="26" t="s">
        <v>118</v>
      </c>
      <c r="AB22" s="26"/>
      <c r="AC22" s="34">
        <v>43452</v>
      </c>
      <c r="AD22" s="26">
        <v>117.6</v>
      </c>
      <c r="AE22" s="26">
        <v>122.92</v>
      </c>
      <c r="AG22" s="22" t="str">
        <f t="shared" si="1"/>
        <v>EXECUTE [dbo].[PG_CI_OPERADOR] 0, 0, 0, 352, 'CASTILLO TREVIZO, JULIO CESAR' , '' , 19 , 2 , 0, 2,'JULIO CESAR', 'CASTILLO', 'TREVIZO' , 'CATJ870314RI6', 'CATJ870314HCHSRL05', '33068797779', 12-03-2007, '03-14-1987','','','PASEO DE LA PRESA','15516','','PASEO DE CHIHUHUA','31109','CHIHUAHUA','','12-18-2018', 117.6,'122.92''</v>
      </c>
      <c r="AH22" s="11"/>
    </row>
    <row r="23" spans="1:34" s="10" customFormat="1" x14ac:dyDescent="0.25">
      <c r="A23" s="18"/>
      <c r="B23" s="19">
        <v>0</v>
      </c>
      <c r="C23" s="19">
        <v>0</v>
      </c>
      <c r="D23" s="19">
        <v>0</v>
      </c>
      <c r="E23" s="28">
        <v>353</v>
      </c>
      <c r="F23" s="20" t="str">
        <f t="shared" si="0"/>
        <v xml:space="preserve">CAZARES VIVAR, MARCELO </v>
      </c>
      <c r="G23" s="21"/>
      <c r="H23" s="28">
        <v>20</v>
      </c>
      <c r="I23" s="28">
        <v>2</v>
      </c>
      <c r="J23" s="28">
        <v>2</v>
      </c>
      <c r="K23" s="28">
        <v>2</v>
      </c>
      <c r="L23" s="26" t="s">
        <v>2131</v>
      </c>
      <c r="M23" s="26" t="s">
        <v>1749</v>
      </c>
      <c r="N23" s="26" t="s">
        <v>1750</v>
      </c>
      <c r="O23" s="26" t="s">
        <v>2332</v>
      </c>
      <c r="P23" s="26" t="s">
        <v>220</v>
      </c>
      <c r="Q23" s="26">
        <v>42816432316</v>
      </c>
      <c r="R23" s="34">
        <v>39582</v>
      </c>
      <c r="S23" s="34">
        <v>23749</v>
      </c>
      <c r="T23" s="35"/>
      <c r="U23" s="26"/>
      <c r="V23" s="26" t="s">
        <v>2456</v>
      </c>
      <c r="W23" s="26" t="s">
        <v>2457</v>
      </c>
      <c r="X23" s="26" t="s">
        <v>2458</v>
      </c>
      <c r="Y23" s="26" t="s">
        <v>222</v>
      </c>
      <c r="Z23" s="26">
        <v>54180</v>
      </c>
      <c r="AA23" s="26" t="s">
        <v>125</v>
      </c>
      <c r="AB23" s="26" t="s">
        <v>224</v>
      </c>
      <c r="AC23" s="34">
        <v>43140</v>
      </c>
      <c r="AD23" s="26">
        <v>110.59</v>
      </c>
      <c r="AE23" s="26">
        <v>116.19</v>
      </c>
      <c r="AG23" s="22" t="str">
        <f t="shared" si="1"/>
        <v>EXECUTE [dbo].[PG_CI_OPERADOR] 0, 0, 0, 353, 'CAZARES VIVAR, MARCELO ' , '' , 20 , 2 , 2, 2,'MARCELO ', 'CAZARES', 'VIVAR' , 'CAVM650107GC8', 'CAVM650107HPLZVR03', '42816432316', 05-14-2008, '01-07-1965','','','BORRASCA','MZ-340','LT-3123','LAZARO CARDENAS','54180','TLALNEPANTLA','DF00113186   E','02-09-2018', 110.59,'116.19''</v>
      </c>
      <c r="AH23" s="11"/>
    </row>
    <row r="24" spans="1:34" s="10" customFormat="1" x14ac:dyDescent="0.25">
      <c r="A24" s="18"/>
      <c r="B24" s="19">
        <v>0</v>
      </c>
      <c r="C24" s="19">
        <v>0</v>
      </c>
      <c r="D24" s="19">
        <v>0</v>
      </c>
      <c r="E24" s="28">
        <v>354</v>
      </c>
      <c r="F24" s="20" t="str">
        <f t="shared" si="0"/>
        <v xml:space="preserve">CEDILLO VIOLANTE, JUAN </v>
      </c>
      <c r="G24" s="21"/>
      <c r="H24" s="28">
        <v>20</v>
      </c>
      <c r="I24" s="28">
        <v>1</v>
      </c>
      <c r="J24" s="28">
        <v>2</v>
      </c>
      <c r="K24" s="28">
        <v>2</v>
      </c>
      <c r="L24" s="26" t="s">
        <v>2132</v>
      </c>
      <c r="M24" s="26" t="s">
        <v>1752</v>
      </c>
      <c r="N24" s="26" t="s">
        <v>1753</v>
      </c>
      <c r="O24" s="26" t="s">
        <v>2333</v>
      </c>
      <c r="P24" s="26" t="s">
        <v>226</v>
      </c>
      <c r="Q24" s="26">
        <v>15855903892</v>
      </c>
      <c r="R24" s="34">
        <v>37734</v>
      </c>
      <c r="S24" s="34">
        <v>21555</v>
      </c>
      <c r="T24" s="35"/>
      <c r="U24" s="26"/>
      <c r="V24" s="26" t="s">
        <v>2741</v>
      </c>
      <c r="W24" s="26">
        <v>4</v>
      </c>
      <c r="X24" s="26"/>
      <c r="Y24" s="26" t="s">
        <v>228</v>
      </c>
      <c r="Z24" s="26">
        <v>62747</v>
      </c>
      <c r="AA24" s="26" t="s">
        <v>229</v>
      </c>
      <c r="AB24" s="26" t="s">
        <v>231</v>
      </c>
      <c r="AC24" s="34">
        <v>43471</v>
      </c>
      <c r="AD24" s="26">
        <v>110.59</v>
      </c>
      <c r="AE24" s="26">
        <v>116.35</v>
      </c>
      <c r="AG24" s="22" t="str">
        <f t="shared" si="1"/>
        <v>EXECUTE [dbo].[PG_CI_OPERADOR] 0, 0, 0, 354, 'CEDILLO VIOLANTE, JUAN ' , '' , 20 , 1 , 2, 2,'JUAN ', 'CEDILLO', 'VIOLANTE' , 'CEVJ590105UF1', 'CEVJ590105HMSDLN04', '15855903892', 04-23-2003, '01-05-1959','','','5 DE MAYO','4','','IGNACIO ZARAGOZA','62747','CUAUTLA','MOR01308   E','01-06-2019', 110.59,'116.35''</v>
      </c>
      <c r="AH24" s="11"/>
    </row>
    <row r="25" spans="1:34" s="10" customFormat="1" x14ac:dyDescent="0.25">
      <c r="A25" s="18"/>
      <c r="B25" s="19">
        <v>0</v>
      </c>
      <c r="C25" s="19">
        <v>0</v>
      </c>
      <c r="D25" s="19">
        <v>0</v>
      </c>
      <c r="E25" s="28">
        <v>355</v>
      </c>
      <c r="F25" s="20" t="str">
        <f t="shared" si="0"/>
        <v xml:space="preserve">CHAVEZ REY, SALVADOR </v>
      </c>
      <c r="G25" s="21"/>
      <c r="H25" s="28">
        <v>19</v>
      </c>
      <c r="I25" s="28">
        <v>1</v>
      </c>
      <c r="J25" s="28">
        <v>2</v>
      </c>
      <c r="K25" s="28">
        <v>2</v>
      </c>
      <c r="L25" s="26" t="s">
        <v>2133</v>
      </c>
      <c r="M25" s="26" t="s">
        <v>1754</v>
      </c>
      <c r="N25" s="26" t="s">
        <v>1755</v>
      </c>
      <c r="O25" s="26" t="s">
        <v>2334</v>
      </c>
      <c r="P25" s="26" t="s">
        <v>233</v>
      </c>
      <c r="Q25" s="26">
        <v>33816399233</v>
      </c>
      <c r="R25" s="34">
        <v>36578</v>
      </c>
      <c r="S25" s="34">
        <v>23807</v>
      </c>
      <c r="T25" s="35"/>
      <c r="U25" s="26"/>
      <c r="V25" s="26" t="s">
        <v>2742</v>
      </c>
      <c r="W25" s="26">
        <v>9524</v>
      </c>
      <c r="X25" s="26"/>
      <c r="Y25" s="26" t="s">
        <v>235</v>
      </c>
      <c r="Z25" s="26">
        <v>33820</v>
      </c>
      <c r="AA25" s="26" t="s">
        <v>117</v>
      </c>
      <c r="AB25" s="26"/>
      <c r="AC25" s="34">
        <v>42684</v>
      </c>
      <c r="AD25" s="26">
        <v>110.59</v>
      </c>
      <c r="AE25" s="26">
        <v>116.5</v>
      </c>
      <c r="AG25" s="22" t="str">
        <f t="shared" si="1"/>
        <v>EXECUTE [dbo].[PG_CI_OPERADOR] 0, 0, 0, 355, 'CHAVEZ REY, SALVADOR ' , '' , 19 , 1 , 2, 2,'SALVADOR ', 'CHAVEZ', 'REY' , 'CARS650306', 'CARS650603HCHHYL09', '33816399233', 02-22-2000, '03-06-1965','','','ALEJANDRO RAMIREZ','9524','','NUEVO INFONAVIT JUAREZ','33820','CD. JUAREZ','','11-10-2016', 110.59,'116.5''</v>
      </c>
      <c r="AH25" s="11"/>
    </row>
    <row r="26" spans="1:34" s="10" customFormat="1" x14ac:dyDescent="0.25">
      <c r="A26" s="18"/>
      <c r="B26" s="19">
        <v>0</v>
      </c>
      <c r="C26" s="19">
        <v>0</v>
      </c>
      <c r="D26" s="19">
        <v>0</v>
      </c>
      <c r="E26" s="28">
        <v>356</v>
      </c>
      <c r="F26" s="20" t="str">
        <f t="shared" si="0"/>
        <v xml:space="preserve">CHAVEZ ROBLES, RICARDO </v>
      </c>
      <c r="G26" s="21"/>
      <c r="H26" s="28">
        <v>20</v>
      </c>
      <c r="I26" s="28">
        <v>1</v>
      </c>
      <c r="J26" s="28">
        <v>0</v>
      </c>
      <c r="K26" s="28">
        <v>2</v>
      </c>
      <c r="L26" s="26" t="s">
        <v>2134</v>
      </c>
      <c r="M26" s="26" t="s">
        <v>1754</v>
      </c>
      <c r="N26" s="26" t="s">
        <v>1757</v>
      </c>
      <c r="O26" s="26" t="s">
        <v>2335</v>
      </c>
      <c r="P26" s="26" t="s">
        <v>237</v>
      </c>
      <c r="Q26" s="26">
        <v>94907011525</v>
      </c>
      <c r="R26" s="34">
        <v>38951</v>
      </c>
      <c r="S26" s="34">
        <v>25807</v>
      </c>
      <c r="T26" s="35"/>
      <c r="U26" s="26"/>
      <c r="V26" s="26" t="s">
        <v>2743</v>
      </c>
      <c r="W26" s="26" t="s">
        <v>2462</v>
      </c>
      <c r="X26" s="26" t="s">
        <v>2463</v>
      </c>
      <c r="Y26" s="26" t="s">
        <v>239</v>
      </c>
      <c r="Z26" s="26">
        <v>55234</v>
      </c>
      <c r="AA26" s="26" t="s">
        <v>240</v>
      </c>
      <c r="AB26" s="26" t="s">
        <v>241</v>
      </c>
      <c r="AC26" s="34">
        <v>43471</v>
      </c>
      <c r="AD26" s="26">
        <v>110.59</v>
      </c>
      <c r="AE26" s="26">
        <v>116.35</v>
      </c>
      <c r="AG26" s="22" t="str">
        <f t="shared" si="1"/>
        <v>EXECUTE [dbo].[PG_CI_OPERADOR] 0, 0, 0, 356, 'CHAVEZ ROBLES, RICARDO ' , '' , 20 , 1 , 0, 2,'RICARDO ', 'CHAVEZ', 'ROBLES' , 'CARR700827KF8', 'CARR700827HDFHBC05', '94907011525', 08-22-2006, '08-27-1970','','','GLORIETA DE ETIOPIA','MZ-556','LT-24','LA GLORIETA','55234','ECATEPEC DE MORELOS','DF00214658   E','01-06-2019', 110.59,'116.35''</v>
      </c>
      <c r="AH26" s="11"/>
    </row>
    <row r="27" spans="1:34" s="10" customFormat="1" x14ac:dyDescent="0.25">
      <c r="A27" s="18"/>
      <c r="B27" s="19">
        <v>0</v>
      </c>
      <c r="C27" s="19">
        <v>0</v>
      </c>
      <c r="D27" s="19">
        <v>0</v>
      </c>
      <c r="E27" s="28">
        <v>357</v>
      </c>
      <c r="F27" s="20" t="str">
        <f t="shared" si="0"/>
        <v>COTA LERMA, RAMON ARTURO</v>
      </c>
      <c r="G27" s="21"/>
      <c r="H27" s="28">
        <v>7</v>
      </c>
      <c r="I27" s="28">
        <v>1</v>
      </c>
      <c r="J27" s="28">
        <v>2</v>
      </c>
      <c r="K27" s="28">
        <v>2</v>
      </c>
      <c r="L27" s="26" t="s">
        <v>2135</v>
      </c>
      <c r="M27" s="26" t="s">
        <v>1759</v>
      </c>
      <c r="N27" s="26" t="s">
        <v>1760</v>
      </c>
      <c r="O27" s="26" t="s">
        <v>2336</v>
      </c>
      <c r="P27" s="26" t="s">
        <v>243</v>
      </c>
      <c r="Q27" s="26">
        <v>24935804807</v>
      </c>
      <c r="R27" s="34">
        <v>40767</v>
      </c>
      <c r="S27" s="34">
        <v>21199</v>
      </c>
      <c r="T27" s="35"/>
      <c r="U27" s="26"/>
      <c r="V27" s="26" t="s">
        <v>2744</v>
      </c>
      <c r="W27" s="26">
        <v>6196</v>
      </c>
      <c r="X27" s="26">
        <v>16</v>
      </c>
      <c r="Y27" s="26" t="s">
        <v>245</v>
      </c>
      <c r="Z27" s="26">
        <v>22194</v>
      </c>
      <c r="AA27" s="26" t="s">
        <v>180</v>
      </c>
      <c r="AB27" s="26" t="s">
        <v>246</v>
      </c>
      <c r="AC27" s="34">
        <v>41045</v>
      </c>
      <c r="AD27" s="26">
        <v>110.59</v>
      </c>
      <c r="AE27" s="26">
        <v>116.19</v>
      </c>
      <c r="AG27" s="22" t="str">
        <f t="shared" si="1"/>
        <v>EXECUTE [dbo].[PG_CI_OPERADOR] 0, 0, 0, 357, 'COTA LERMA, RAMON ARTURO' , '' , 7 , 1 , 2, 2,'RAMON ARTURO', 'COTA', 'LERMA' , 'COLR580114245', 'COLR580114HSRTRM07', '24935804807', 08-12-2011, '01-14-1958','','','PRIVADA RUISEÑORES','6196','16','JARDINES DE AGUA CALIENTE','22194','TIJUANA','SON0005892','05-16-2012', 110.59,'116.19''</v>
      </c>
      <c r="AH27" s="11"/>
    </row>
    <row r="28" spans="1:34" s="10" customFormat="1" x14ac:dyDescent="0.25">
      <c r="A28" s="18"/>
      <c r="B28" s="19">
        <v>0</v>
      </c>
      <c r="C28" s="19">
        <v>0</v>
      </c>
      <c r="D28" s="19">
        <v>0</v>
      </c>
      <c r="E28" s="28">
        <v>358</v>
      </c>
      <c r="F28" s="20" t="str">
        <f t="shared" si="0"/>
        <v xml:space="preserve">CRUZ MIRELES, MAURICIO </v>
      </c>
      <c r="G28" s="21"/>
      <c r="H28" s="28">
        <v>20</v>
      </c>
      <c r="I28" s="28">
        <v>2</v>
      </c>
      <c r="J28" s="28">
        <v>2</v>
      </c>
      <c r="K28" s="28">
        <v>2</v>
      </c>
      <c r="L28" s="26" t="s">
        <v>2136</v>
      </c>
      <c r="M28" s="26" t="s">
        <v>1699</v>
      </c>
      <c r="N28" s="26" t="s">
        <v>1763</v>
      </c>
      <c r="O28" s="26" t="s">
        <v>2337</v>
      </c>
      <c r="P28" s="26" t="s">
        <v>248</v>
      </c>
      <c r="Q28" s="26">
        <v>96937200077</v>
      </c>
      <c r="R28" s="34">
        <v>42244</v>
      </c>
      <c r="S28" s="34">
        <v>27081</v>
      </c>
      <c r="T28" s="35">
        <v>5539572879</v>
      </c>
      <c r="U28" s="26"/>
      <c r="V28" s="26" t="s">
        <v>2745</v>
      </c>
      <c r="W28" s="26" t="s">
        <v>2746</v>
      </c>
      <c r="X28" s="26" t="s">
        <v>2499</v>
      </c>
      <c r="Y28" s="26" t="s">
        <v>250</v>
      </c>
      <c r="Z28" s="26">
        <v>56500</v>
      </c>
      <c r="AA28" s="26" t="s">
        <v>251</v>
      </c>
      <c r="AB28" s="26"/>
      <c r="AC28" s="34">
        <v>43140</v>
      </c>
      <c r="AD28" s="26">
        <v>110.59</v>
      </c>
      <c r="AE28" s="26">
        <v>156.46</v>
      </c>
      <c r="AG28" s="22" t="str">
        <f t="shared" si="1"/>
        <v>EXECUTE [dbo].[PG_CI_OPERADOR] 0, 0, 0, 358, 'CRUZ MIRELES, MAURICIO ' , '' , 20 , 2 , 2, 2,'MAURICIO ', 'CRUZ', 'MIRELES' , 'CUMM7402219KA', 'CUMM740221HDFRRR01', '96937200077', 08-28-2015, '02-21-1974','5539572879','','HERIBERTO JARA','MZA-5','LT-2','AMPLIACION TECAMACHALCO','56500','LOS REYES, LA PAZ','','02-09-2018', 110.59,'156.46''</v>
      </c>
      <c r="AH28" s="11"/>
    </row>
    <row r="29" spans="1:34" s="10" customFormat="1" x14ac:dyDescent="0.25">
      <c r="A29" s="18"/>
      <c r="B29" s="19">
        <v>0</v>
      </c>
      <c r="C29" s="19">
        <v>0</v>
      </c>
      <c r="D29" s="19">
        <v>0</v>
      </c>
      <c r="E29" s="28">
        <v>359</v>
      </c>
      <c r="F29" s="20" t="str">
        <f t="shared" si="0"/>
        <v>DIAZ MARTINEZ, JUAN ALEJANDRO</v>
      </c>
      <c r="G29" s="21"/>
      <c r="H29" s="28">
        <v>19</v>
      </c>
      <c r="I29" s="28">
        <v>1</v>
      </c>
      <c r="J29" s="28">
        <v>0</v>
      </c>
      <c r="K29" s="28">
        <v>2</v>
      </c>
      <c r="L29" s="26" t="s">
        <v>2137</v>
      </c>
      <c r="M29" s="26" t="s">
        <v>1739</v>
      </c>
      <c r="N29" s="26" t="s">
        <v>1765</v>
      </c>
      <c r="O29" s="26" t="s">
        <v>2338</v>
      </c>
      <c r="P29" s="26" t="s">
        <v>253</v>
      </c>
      <c r="Q29" s="26">
        <v>33826633233</v>
      </c>
      <c r="R29" s="34">
        <v>37861</v>
      </c>
      <c r="S29" s="34">
        <v>24221</v>
      </c>
      <c r="T29" s="35"/>
      <c r="U29" s="26"/>
      <c r="V29" s="26" t="s">
        <v>2747</v>
      </c>
      <c r="W29" s="26">
        <v>7630</v>
      </c>
      <c r="X29" s="26"/>
      <c r="Y29" s="26" t="s">
        <v>255</v>
      </c>
      <c r="Z29" s="26">
        <v>32328</v>
      </c>
      <c r="AA29" s="26" t="s">
        <v>117</v>
      </c>
      <c r="AB29" s="26"/>
      <c r="AC29" s="34">
        <v>42684</v>
      </c>
      <c r="AD29" s="26">
        <v>110.59</v>
      </c>
      <c r="AE29" s="26">
        <v>116.35</v>
      </c>
      <c r="AG29" s="22" t="str">
        <f t="shared" si="1"/>
        <v>EXECUTE [dbo].[PG_CI_OPERADOR] 0, 0, 0, 359, 'DIAZ MARTINEZ, JUAN ALEJANDRO' , '' , 19 , 1 , 0, 2,'JUAN ALEJANDRO', 'DIAZ', 'MARTINEZ' , 'DIMJ660424DG5', 'DIMJ660424HCHZRN08', '33826633233', 08-28-2003, '04-24-1966','','','PRIVADA DE ITUGARRAY','7630','','VIRREYES','32328','CD. JUAREZ','','11-10-2016', 110.59,'116.35''</v>
      </c>
      <c r="AH29" s="11"/>
    </row>
    <row r="30" spans="1:34" s="10" customFormat="1" x14ac:dyDescent="0.25">
      <c r="A30" s="18"/>
      <c r="B30" s="19">
        <v>0</v>
      </c>
      <c r="C30" s="19">
        <v>0</v>
      </c>
      <c r="D30" s="19">
        <v>0</v>
      </c>
      <c r="E30" s="28">
        <v>361</v>
      </c>
      <c r="F30" s="20" t="str">
        <f t="shared" si="0"/>
        <v>ESPINOZA GONZALEZ, JOSE GONZALO</v>
      </c>
      <c r="G30" s="21"/>
      <c r="H30" s="28">
        <v>20</v>
      </c>
      <c r="I30" s="28">
        <v>1</v>
      </c>
      <c r="J30" s="28">
        <v>0</v>
      </c>
      <c r="K30" s="28">
        <v>2</v>
      </c>
      <c r="L30" s="26" t="s">
        <v>2138</v>
      </c>
      <c r="M30" s="26" t="s">
        <v>1766</v>
      </c>
      <c r="N30" s="26" t="s">
        <v>1767</v>
      </c>
      <c r="O30" s="26" t="s">
        <v>2339</v>
      </c>
      <c r="P30" s="26" t="s">
        <v>257</v>
      </c>
      <c r="Q30" s="26">
        <v>62745502153</v>
      </c>
      <c r="R30" s="34">
        <v>38790</v>
      </c>
      <c r="S30" s="34">
        <v>20341</v>
      </c>
      <c r="T30" s="35"/>
      <c r="U30" s="26"/>
      <c r="V30" s="26" t="s">
        <v>2748</v>
      </c>
      <c r="W30" s="26">
        <v>2164</v>
      </c>
      <c r="X30" s="26"/>
      <c r="Y30" s="26" t="s">
        <v>260</v>
      </c>
      <c r="Z30" s="26">
        <v>72104</v>
      </c>
      <c r="AA30" s="26" t="s">
        <v>145</v>
      </c>
      <c r="AB30" s="26"/>
      <c r="AC30" s="34">
        <v>43140</v>
      </c>
      <c r="AD30" s="26">
        <v>110.59</v>
      </c>
      <c r="AE30" s="26">
        <v>116.35</v>
      </c>
      <c r="AG30" s="22" t="str">
        <f t="shared" si="1"/>
        <v>EXECUTE [dbo].[PG_CI_OPERADOR] 0, 0, 0, 361, 'ESPINOZA GONZALEZ, JOSE GONZALO' , '' , 20 , 1 , 0, 2,'JOSE GONZALO', 'ESPINOZA', 'GONZALEZ' , 'EIGG550909', 'EIGG550909HPLSNN01', '62745502153', 03-14-2006, '09-09-1955','','','CTO. OBREROS INDEPENDIENTES SUR','2164','','U. HAB. VOLKSWAGEN SUR','72104','PUEBLA','','02-09-2018', 110.59,'116.35''</v>
      </c>
      <c r="AH30" s="11"/>
    </row>
    <row r="31" spans="1:34" s="10" customFormat="1" x14ac:dyDescent="0.25">
      <c r="A31" s="18"/>
      <c r="B31" s="19">
        <v>0</v>
      </c>
      <c r="C31" s="19">
        <v>0</v>
      </c>
      <c r="D31" s="19">
        <v>0</v>
      </c>
      <c r="E31" s="28">
        <v>362</v>
      </c>
      <c r="F31" s="20" t="str">
        <f t="shared" si="0"/>
        <v>GALVAN NAVARRO, FELIX PATRICIO</v>
      </c>
      <c r="G31" s="21"/>
      <c r="H31" s="28">
        <v>20</v>
      </c>
      <c r="I31" s="28">
        <v>1</v>
      </c>
      <c r="J31" s="28">
        <v>0</v>
      </c>
      <c r="K31" s="28">
        <v>2</v>
      </c>
      <c r="L31" s="26" t="s">
        <v>2139</v>
      </c>
      <c r="M31" s="26" t="s">
        <v>1769</v>
      </c>
      <c r="N31" s="26" t="s">
        <v>1770</v>
      </c>
      <c r="O31" s="26" t="s">
        <v>262</v>
      </c>
      <c r="P31" s="26" t="s">
        <v>263</v>
      </c>
      <c r="Q31" s="26">
        <v>56967503428</v>
      </c>
      <c r="R31" s="34">
        <v>39024</v>
      </c>
      <c r="S31" s="34">
        <v>28553</v>
      </c>
      <c r="T31" s="35"/>
      <c r="U31" s="26"/>
      <c r="V31" s="26" t="s">
        <v>2749</v>
      </c>
      <c r="W31" s="26">
        <v>102</v>
      </c>
      <c r="X31" s="26"/>
      <c r="Y31" s="26" t="s">
        <v>265</v>
      </c>
      <c r="Z31" s="26">
        <v>47295</v>
      </c>
      <c r="AA31" s="26" t="s">
        <v>266</v>
      </c>
      <c r="AB31" s="26"/>
      <c r="AC31" s="34">
        <v>43140</v>
      </c>
      <c r="AD31" s="26">
        <v>110.59</v>
      </c>
      <c r="AE31" s="26">
        <v>116.19</v>
      </c>
      <c r="AG31" s="22" t="str">
        <f t="shared" si="1"/>
        <v>EXECUTE [dbo].[PG_CI_OPERADOR] 0, 0, 0, 362, 'GALVAN NAVARRO, FELIX PATRICIO' , '' , 20 , 1 , 0, 2,'FELIX PATRICIO', 'GALVAN', 'NAVARRO' , 'GANF7803044Z3', 'GANF780304HJCLVL01', '56967503428', 11-03-2006, '03-04-1978','','','PRIVADA ISABEL LA CATOLICA','102','','CENTRO','47295','ENCARNACION DE DIAZ','','02-09-2018', 110.59,'116.19''</v>
      </c>
      <c r="AH31" s="11"/>
    </row>
    <row r="32" spans="1:34" s="10" customFormat="1" x14ac:dyDescent="0.25">
      <c r="A32" s="18"/>
      <c r="B32" s="19">
        <v>0</v>
      </c>
      <c r="C32" s="19">
        <v>0</v>
      </c>
      <c r="D32" s="19">
        <v>0</v>
      </c>
      <c r="E32" s="28">
        <v>363</v>
      </c>
      <c r="F32" s="20" t="str">
        <f t="shared" si="0"/>
        <v xml:space="preserve">GARCIA CASAS, MARTIN </v>
      </c>
      <c r="G32" s="21"/>
      <c r="H32" s="28">
        <v>20</v>
      </c>
      <c r="I32" s="28">
        <v>1</v>
      </c>
      <c r="J32" s="28">
        <v>2</v>
      </c>
      <c r="K32" s="28">
        <v>2</v>
      </c>
      <c r="L32" s="26" t="s">
        <v>2140</v>
      </c>
      <c r="M32" s="26" t="s">
        <v>1773</v>
      </c>
      <c r="N32" s="26" t="s">
        <v>1741</v>
      </c>
      <c r="O32" s="26" t="s">
        <v>2340</v>
      </c>
      <c r="P32" s="26" t="s">
        <v>268</v>
      </c>
      <c r="Q32" s="26">
        <v>65866807137</v>
      </c>
      <c r="R32" s="34">
        <v>42314</v>
      </c>
      <c r="S32" s="34">
        <v>24822</v>
      </c>
      <c r="T32" s="35">
        <v>2871114055</v>
      </c>
      <c r="U32" s="26"/>
      <c r="V32" s="26" t="s">
        <v>2468</v>
      </c>
      <c r="W32" s="26" t="s">
        <v>2751</v>
      </c>
      <c r="X32" s="26" t="s">
        <v>2750</v>
      </c>
      <c r="Y32" s="26" t="s">
        <v>270</v>
      </c>
      <c r="Z32" s="26">
        <v>68375</v>
      </c>
      <c r="AA32" s="26" t="s">
        <v>271</v>
      </c>
      <c r="AB32" s="26"/>
      <c r="AC32" s="34">
        <v>43140</v>
      </c>
      <c r="AD32" s="26">
        <v>110.59</v>
      </c>
      <c r="AE32" s="26">
        <v>115.59</v>
      </c>
      <c r="AG32" s="22" t="str">
        <f t="shared" si="1"/>
        <v>EXECUTE [dbo].[PG_CI_OPERADOR] 0, 0, 0, 363, 'GARCIA CASAS, MARTIN ' , '' , 20 , 1 , 2, 2,'MARTIN ', 'GARCIA', 'CASAS' , 'GACM671216HP5', 'GACM671216HVZRSR01', '65866807137', 11-06-2015, '12-16-1967','2871114055','','GIRASOLES','MZ-5','LT-13','SAN JUAN BAUTISTA TUXTEPEC','68375','OAXACA','','02-09-2018', 110.59,'115.59''</v>
      </c>
      <c r="AH32" s="11"/>
    </row>
    <row r="33" spans="1:34" s="10" customFormat="1" x14ac:dyDescent="0.25">
      <c r="A33" s="18"/>
      <c r="B33" s="19">
        <v>0</v>
      </c>
      <c r="C33" s="19">
        <v>0</v>
      </c>
      <c r="D33" s="19">
        <v>0</v>
      </c>
      <c r="E33" s="28">
        <v>364</v>
      </c>
      <c r="F33" s="20" t="str">
        <f t="shared" si="0"/>
        <v>GARCIA FAVELA, RICARDO ALEJANDRO</v>
      </c>
      <c r="G33" s="21"/>
      <c r="H33" s="28">
        <v>20</v>
      </c>
      <c r="I33" s="28">
        <v>1</v>
      </c>
      <c r="J33" s="28">
        <v>0</v>
      </c>
      <c r="K33" s="28">
        <v>2</v>
      </c>
      <c r="L33" s="26" t="s">
        <v>2141</v>
      </c>
      <c r="M33" s="26" t="s">
        <v>1773</v>
      </c>
      <c r="N33" s="26" t="s">
        <v>1775</v>
      </c>
      <c r="O33" s="26" t="s">
        <v>273</v>
      </c>
      <c r="P33" s="26" t="s">
        <v>274</v>
      </c>
      <c r="Q33" s="26">
        <v>33947660628</v>
      </c>
      <c r="R33" s="34">
        <v>42193</v>
      </c>
      <c r="S33" s="34">
        <v>27999</v>
      </c>
      <c r="T33" s="35"/>
      <c r="U33" s="26"/>
      <c r="V33" s="26" t="s">
        <v>2753</v>
      </c>
      <c r="W33" s="26">
        <v>8836</v>
      </c>
      <c r="X33" s="26"/>
      <c r="Y33" s="26" t="s">
        <v>276</v>
      </c>
      <c r="Z33" s="26">
        <v>32696</v>
      </c>
      <c r="AA33" s="26" t="s">
        <v>277</v>
      </c>
      <c r="AB33" s="26"/>
      <c r="AC33" s="34">
        <v>43140</v>
      </c>
      <c r="AD33" s="26">
        <v>110.59</v>
      </c>
      <c r="AE33" s="26">
        <v>115.59</v>
      </c>
      <c r="AG33" s="22" t="str">
        <f t="shared" si="1"/>
        <v>EXECUTE [dbo].[PG_CI_OPERADOR] 0, 0, 0, 364, 'GARCIA FAVELA, RICARDO ALEJANDRO' , '' , 20 , 1 , 0, 2,'RICARDO ALEJANDRO', 'GARCIA', 'FAVELA' , 'GAFR760903AA1', 'GAFR760903HCLRVC00', '33947660628', 07-08-2015, '08-27-1976','','','FRANCISCO DE ZURBARAN','8836','','PARAJES DEL SOL','32696','JUAREZ','','02-09-2018', 110.59,'115.59''</v>
      </c>
      <c r="AH33" s="11"/>
    </row>
    <row r="34" spans="1:34" s="10" customFormat="1" x14ac:dyDescent="0.25">
      <c r="A34" s="18"/>
      <c r="B34" s="19">
        <v>0</v>
      </c>
      <c r="C34" s="19">
        <v>0</v>
      </c>
      <c r="D34" s="19">
        <v>0</v>
      </c>
      <c r="E34" s="28">
        <v>365</v>
      </c>
      <c r="F34" s="20" t="str">
        <f t="shared" si="0"/>
        <v xml:space="preserve">GARCIA ROBLES, RODRIGO </v>
      </c>
      <c r="G34" s="21"/>
      <c r="H34" s="28">
        <v>17</v>
      </c>
      <c r="I34" s="28">
        <v>1</v>
      </c>
      <c r="J34" s="28">
        <v>2</v>
      </c>
      <c r="K34" s="28">
        <v>2</v>
      </c>
      <c r="L34" s="26" t="s">
        <v>2142</v>
      </c>
      <c r="M34" s="26" t="s">
        <v>1773</v>
      </c>
      <c r="N34" s="26" t="s">
        <v>1757</v>
      </c>
      <c r="O34" s="26" t="s">
        <v>2341</v>
      </c>
      <c r="P34" s="26" t="s">
        <v>279</v>
      </c>
      <c r="Q34" s="26">
        <v>21099064871</v>
      </c>
      <c r="R34" s="34">
        <v>40932</v>
      </c>
      <c r="S34" s="34">
        <v>33092</v>
      </c>
      <c r="T34" s="35" t="s">
        <v>280</v>
      </c>
      <c r="U34" s="26"/>
      <c r="V34" s="26" t="s">
        <v>2754</v>
      </c>
      <c r="W34" s="26">
        <v>10</v>
      </c>
      <c r="X34" s="26"/>
      <c r="Y34" s="26" t="s">
        <v>282</v>
      </c>
      <c r="Z34" s="26">
        <v>22101</v>
      </c>
      <c r="AA34" s="26" t="s">
        <v>180</v>
      </c>
      <c r="AB34" s="26" t="s">
        <v>283</v>
      </c>
      <c r="AC34" s="34">
        <v>41978</v>
      </c>
      <c r="AD34" s="26">
        <v>110.59</v>
      </c>
      <c r="AE34" s="26">
        <v>116.04</v>
      </c>
      <c r="AG34" s="22" t="str">
        <f t="shared" si="1"/>
        <v>EXECUTE [dbo].[PG_CI_OPERADOR] 0, 0, 0, 365, 'GARCIA ROBLES, RODRIGO ' , '' , 17 , 1 , 2, 2,'RODRIGO ', 'GARCIA', 'ROBLES' , 'GARR900807', 'GARR900807HBCRBD09', '21099064871', 01-24-2012, '08-07-1990','01664 3875 886','','PRIVADA PIEDRAS NEGRAS','10','','RESIDENCIAL EL DORADO','22101','TIJUANA','BCS0004349   E-B','12-05-2014', 110.59,'116.04''</v>
      </c>
      <c r="AH34" s="11"/>
    </row>
    <row r="35" spans="1:34" s="10" customFormat="1" x14ac:dyDescent="0.25">
      <c r="A35" s="18"/>
      <c r="B35" s="19">
        <v>0</v>
      </c>
      <c r="C35" s="19">
        <v>0</v>
      </c>
      <c r="D35" s="19">
        <v>0</v>
      </c>
      <c r="E35" s="28">
        <v>366</v>
      </c>
      <c r="F35" s="20" t="str">
        <f t="shared" si="0"/>
        <v xml:space="preserve">GOMEZ OROZCO, RAYMUNDO </v>
      </c>
      <c r="G35" s="21"/>
      <c r="H35" s="28">
        <v>7</v>
      </c>
      <c r="I35" s="28">
        <v>1</v>
      </c>
      <c r="J35" s="28">
        <v>2</v>
      </c>
      <c r="K35" s="28">
        <v>2</v>
      </c>
      <c r="L35" s="26" t="s">
        <v>2143</v>
      </c>
      <c r="M35" s="26" t="s">
        <v>1777</v>
      </c>
      <c r="N35" s="26" t="s">
        <v>1778</v>
      </c>
      <c r="O35" s="26" t="s">
        <v>2342</v>
      </c>
      <c r="P35" s="26" t="s">
        <v>285</v>
      </c>
      <c r="Q35" s="26">
        <v>24856814934</v>
      </c>
      <c r="R35" s="34">
        <v>41964</v>
      </c>
      <c r="S35" s="34">
        <v>24874</v>
      </c>
      <c r="T35" s="35" t="s">
        <v>286</v>
      </c>
      <c r="U35" s="26"/>
      <c r="V35" s="26" t="s">
        <v>2755</v>
      </c>
      <c r="W35" s="26">
        <v>544</v>
      </c>
      <c r="X35" s="26"/>
      <c r="Y35" s="26" t="s">
        <v>288</v>
      </c>
      <c r="Z35" s="26">
        <v>85199</v>
      </c>
      <c r="AA35" s="26" t="s">
        <v>289</v>
      </c>
      <c r="AB35" s="26" t="s">
        <v>290</v>
      </c>
      <c r="AC35" s="34">
        <v>42587</v>
      </c>
      <c r="AD35" s="26">
        <v>167.65</v>
      </c>
      <c r="AE35" s="26">
        <v>175.23</v>
      </c>
      <c r="AG35" s="22" t="str">
        <f t="shared" si="1"/>
        <v>EXECUTE [dbo].[PG_CI_OPERADOR] 0, 0, 0, 366, 'GOMEZ OROZCO, RAYMUNDO ' , '' , 7 , 1 , 2, 2,'RAYMUNDO ', 'GOMEZ', 'OROZCO' , 'GOOR680206QHA', 'GOOR680206HJCMRY05', '24856814934', 11-21-2014, '02-06-1968','644 111 7905','','RAMON GUZMAN','544','','LUIS ECHEVERRIA','85199','CAJEME','SIN100582    B-E','08-05-2016', 167.65,'175.23''</v>
      </c>
      <c r="AH35" s="11"/>
    </row>
    <row r="36" spans="1:34" s="10" customFormat="1" x14ac:dyDescent="0.25">
      <c r="A36" s="18"/>
      <c r="B36" s="19">
        <v>0</v>
      </c>
      <c r="C36" s="19">
        <v>0</v>
      </c>
      <c r="D36" s="19">
        <v>0</v>
      </c>
      <c r="E36" s="28">
        <v>367</v>
      </c>
      <c r="F36" s="20" t="str">
        <f t="shared" si="0"/>
        <v xml:space="preserve">GONZALEZ CHAVEZ, ISIDRO </v>
      </c>
      <c r="G36" s="21"/>
      <c r="H36" s="28">
        <v>20</v>
      </c>
      <c r="I36" s="28">
        <v>1</v>
      </c>
      <c r="J36" s="28">
        <v>0</v>
      </c>
      <c r="K36" s="28">
        <v>2</v>
      </c>
      <c r="L36" s="26" t="s">
        <v>2144</v>
      </c>
      <c r="M36" s="26" t="s">
        <v>1767</v>
      </c>
      <c r="N36" s="26" t="s">
        <v>1754</v>
      </c>
      <c r="O36" s="26" t="s">
        <v>2343</v>
      </c>
      <c r="P36" s="26" t="s">
        <v>292</v>
      </c>
      <c r="Q36" s="26">
        <v>33867107360</v>
      </c>
      <c r="R36" s="34">
        <v>38397</v>
      </c>
      <c r="S36" s="34">
        <v>26068</v>
      </c>
      <c r="T36" s="35"/>
      <c r="U36" s="26"/>
      <c r="V36" s="26" t="s">
        <v>2756</v>
      </c>
      <c r="W36" s="26">
        <v>219</v>
      </c>
      <c r="X36" s="26"/>
      <c r="Y36" s="26" t="s">
        <v>294</v>
      </c>
      <c r="Z36" s="26">
        <v>32700</v>
      </c>
      <c r="AA36" s="26" t="s">
        <v>117</v>
      </c>
      <c r="AB36" s="26"/>
      <c r="AC36" s="34">
        <v>43140</v>
      </c>
      <c r="AD36" s="26">
        <v>199.02</v>
      </c>
      <c r="AE36" s="26">
        <v>209.11</v>
      </c>
      <c r="AG36" s="22" t="str">
        <f t="shared" si="1"/>
        <v>EXECUTE [dbo].[PG_CI_OPERADOR] 0, 0, 0, 367, 'GONZALEZ CHAVEZ, ISIDRO ' , '' , 20 , 1 , 0, 2,'ISIDRO ', 'GONZALEZ', 'CHAVEZ' , 'GOCI710515L70', 'GOCI710515HCHNHS02', '33867107360', 02-14-2005, '05-15-1971','','','PATEOSINIO ESPINO','219','','KILOMETRO 20','32700','CD. JUAREZ','','02-09-2018', 199.02,'209.11''</v>
      </c>
      <c r="AH36" s="11"/>
    </row>
    <row r="37" spans="1:34" s="10" customFormat="1" x14ac:dyDescent="0.25">
      <c r="A37" s="18"/>
      <c r="B37" s="19">
        <v>0</v>
      </c>
      <c r="C37" s="19">
        <v>0</v>
      </c>
      <c r="D37" s="19">
        <v>0</v>
      </c>
      <c r="E37" s="28">
        <v>368</v>
      </c>
      <c r="F37" s="20" t="str">
        <f t="shared" si="0"/>
        <v xml:space="preserve">GUERRERO OCHOA, VICTOR </v>
      </c>
      <c r="G37" s="21"/>
      <c r="H37" s="28">
        <v>20</v>
      </c>
      <c r="I37" s="28">
        <v>1</v>
      </c>
      <c r="J37" s="28">
        <v>0</v>
      </c>
      <c r="K37" s="28">
        <v>2</v>
      </c>
      <c r="L37" s="26" t="s">
        <v>2145</v>
      </c>
      <c r="M37" s="26" t="s">
        <v>193</v>
      </c>
      <c r="N37" s="26" t="s">
        <v>1781</v>
      </c>
      <c r="O37" s="26" t="s">
        <v>2344</v>
      </c>
      <c r="P37" s="26" t="s">
        <v>296</v>
      </c>
      <c r="Q37" s="26">
        <v>15836608503</v>
      </c>
      <c r="R37" s="34">
        <v>37803</v>
      </c>
      <c r="S37" s="34">
        <v>24464</v>
      </c>
      <c r="T37" s="35"/>
      <c r="U37" s="26"/>
      <c r="V37" s="26" t="s">
        <v>1322</v>
      </c>
      <c r="W37" s="26" t="s">
        <v>13</v>
      </c>
      <c r="X37" s="26"/>
      <c r="Y37" s="26" t="s">
        <v>298</v>
      </c>
      <c r="Z37" s="26">
        <v>62730</v>
      </c>
      <c r="AA37" s="26" t="s">
        <v>299</v>
      </c>
      <c r="AB37" s="26" t="s">
        <v>300</v>
      </c>
      <c r="AC37" s="34">
        <v>43471</v>
      </c>
      <c r="AD37" s="26">
        <v>110.59</v>
      </c>
      <c r="AE37" s="26">
        <v>116.35</v>
      </c>
      <c r="AG37" s="22" t="str">
        <f t="shared" si="1"/>
        <v>EXECUTE [dbo].[PG_CI_OPERADOR] 0, 0, 0, 368, 'GUERRERO OCHOA, VICTOR ' , '' , 20 , 1 , 0, 2,'VICTOR ', 'GUERRERO', 'OCHOA' , 'GUOV661223DW7', 'GUOV661223HMSRCC04', '15836608503', 07-01-2003, '12-23-1966','','','EMILIANO ZAPATA','S/N','','TETILLAS','62730','YAUTEPEC','MOR0005121   E','01-06-2019', 110.59,'116.35''</v>
      </c>
      <c r="AH37" s="11"/>
    </row>
    <row r="38" spans="1:34" s="10" customFormat="1" x14ac:dyDescent="0.25">
      <c r="A38" s="18"/>
      <c r="B38" s="19">
        <v>0</v>
      </c>
      <c r="C38" s="19">
        <v>0</v>
      </c>
      <c r="D38" s="19">
        <v>0</v>
      </c>
      <c r="E38" s="28">
        <v>369</v>
      </c>
      <c r="F38" s="20" t="str">
        <f t="shared" si="0"/>
        <v>GUTIERREZ CRUZ, JESUS REFUGIO</v>
      </c>
      <c r="G38" s="21"/>
      <c r="H38" s="28">
        <v>20</v>
      </c>
      <c r="I38" s="28">
        <v>1</v>
      </c>
      <c r="J38" s="28">
        <v>0</v>
      </c>
      <c r="K38" s="28">
        <v>2</v>
      </c>
      <c r="L38" s="26" t="s">
        <v>2146</v>
      </c>
      <c r="M38" s="26" t="s">
        <v>1783</v>
      </c>
      <c r="N38" s="26" t="s">
        <v>1699</v>
      </c>
      <c r="O38" s="26" t="s">
        <v>2345</v>
      </c>
      <c r="P38" s="26" t="s">
        <v>302</v>
      </c>
      <c r="Q38" s="26">
        <v>4008528525</v>
      </c>
      <c r="R38" s="34">
        <v>40107</v>
      </c>
      <c r="S38" s="34">
        <v>31267</v>
      </c>
      <c r="T38" s="35"/>
      <c r="U38" s="26"/>
      <c r="V38" s="26" t="s">
        <v>2757</v>
      </c>
      <c r="W38" s="26">
        <v>28</v>
      </c>
      <c r="X38" s="26"/>
      <c r="Y38" s="26" t="s">
        <v>304</v>
      </c>
      <c r="Z38" s="26">
        <v>44970</v>
      </c>
      <c r="AA38" s="26" t="s">
        <v>111</v>
      </c>
      <c r="AB38" s="26"/>
      <c r="AC38" s="34">
        <v>43140</v>
      </c>
      <c r="AD38" s="26">
        <v>223.07</v>
      </c>
      <c r="AE38" s="26">
        <v>234.07</v>
      </c>
      <c r="AG38" s="22" t="str">
        <f t="shared" si="1"/>
        <v>EXECUTE [dbo].[PG_CI_OPERADOR] 0, 0, 0, 369, 'GUTIERREZ CRUZ, JESUS REFUGIO' , '' , 20 , 1 , 0, 2,'JESUS REFUGIO', 'GUTIERREZ', 'CRUZ' , 'GUCJ8508086Q0', 'GUCJ850808HJCTRS01', '4008528525', 10-21-2009, '08-08-1985','','','SAN JOSE','28','','LAS JUNTAS','44970','TLAQUEPAQUE','','02-09-2018', 223.07,'234.07''</v>
      </c>
      <c r="AH38" s="11"/>
    </row>
    <row r="39" spans="1:34" s="10" customFormat="1" x14ac:dyDescent="0.25">
      <c r="A39" s="18"/>
      <c r="B39" s="19">
        <v>0</v>
      </c>
      <c r="C39" s="19">
        <v>0</v>
      </c>
      <c r="D39" s="19">
        <v>0</v>
      </c>
      <c r="E39" s="28">
        <v>370</v>
      </c>
      <c r="F39" s="20" t="str">
        <f t="shared" si="0"/>
        <v xml:space="preserve">GUTIERREZ ELIZALDE, MANUEL </v>
      </c>
      <c r="G39" s="21"/>
      <c r="H39" s="28">
        <v>20</v>
      </c>
      <c r="I39" s="28">
        <v>2</v>
      </c>
      <c r="J39" s="28">
        <v>2</v>
      </c>
      <c r="K39" s="28">
        <v>2</v>
      </c>
      <c r="L39" s="26" t="s">
        <v>2147</v>
      </c>
      <c r="M39" s="26" t="s">
        <v>1783</v>
      </c>
      <c r="N39" s="26" t="s">
        <v>1786</v>
      </c>
      <c r="O39" s="26" t="s">
        <v>2346</v>
      </c>
      <c r="P39" s="26" t="s">
        <v>306</v>
      </c>
      <c r="Q39" s="26">
        <v>1715610190</v>
      </c>
      <c r="R39" s="34">
        <v>41621</v>
      </c>
      <c r="S39" s="34">
        <v>20889</v>
      </c>
      <c r="T39" s="35" t="s">
        <v>307</v>
      </c>
      <c r="U39" s="26"/>
      <c r="V39" s="26" t="s">
        <v>2758</v>
      </c>
      <c r="W39" s="26">
        <v>10</v>
      </c>
      <c r="X39" s="26"/>
      <c r="Y39" s="26" t="s">
        <v>309</v>
      </c>
      <c r="Z39" s="26">
        <v>54960</v>
      </c>
      <c r="AA39" s="26" t="s">
        <v>310</v>
      </c>
      <c r="AB39" s="26" t="s">
        <v>311</v>
      </c>
      <c r="AC39" s="34">
        <v>43471</v>
      </c>
      <c r="AD39" s="26">
        <v>110.59</v>
      </c>
      <c r="AE39" s="26">
        <v>115.59</v>
      </c>
      <c r="AG39" s="22" t="str">
        <f t="shared" si="1"/>
        <v>EXECUTE [dbo].[PG_CI_OPERADOR] 0, 0, 0, 370, 'GUTIERREZ ELIZALDE, MANUEL ' , '' , 20 , 2 , 2, 2,'MANUEL ', 'GUTIERREZ', 'ELIZALDE' , 'GUEM570310T41', 'GUEM570310HDFTLN07', '1715610190', 12-13-2013, '03-10-1957','773 141 4488','','CERRADA SIN NOMBRE','10','','SAN MIGUEL OTLICA','54960','TULTEPEC','TAMP302711    E','01-06-2019', 110.59,'115.59''</v>
      </c>
      <c r="AH39" s="11"/>
    </row>
    <row r="40" spans="1:34" s="10" customFormat="1" x14ac:dyDescent="0.25">
      <c r="A40" s="18"/>
      <c r="B40" s="19">
        <v>0</v>
      </c>
      <c r="C40" s="19">
        <v>0</v>
      </c>
      <c r="D40" s="19">
        <v>0</v>
      </c>
      <c r="E40" s="28">
        <v>371</v>
      </c>
      <c r="F40" s="20" t="str">
        <f t="shared" si="0"/>
        <v xml:space="preserve">HERNANDEZ BAUTISTA, JERMAN </v>
      </c>
      <c r="G40" s="21"/>
      <c r="H40" s="28">
        <v>20</v>
      </c>
      <c r="I40" s="28">
        <v>1</v>
      </c>
      <c r="J40" s="28">
        <v>0</v>
      </c>
      <c r="K40" s="28">
        <v>2</v>
      </c>
      <c r="L40" s="26" t="s">
        <v>2148</v>
      </c>
      <c r="M40" s="26" t="s">
        <v>1713</v>
      </c>
      <c r="N40" s="26" t="s">
        <v>1787</v>
      </c>
      <c r="O40" s="26" t="s">
        <v>2347</v>
      </c>
      <c r="P40" s="26" t="s">
        <v>313</v>
      </c>
      <c r="Q40" s="26">
        <v>72018107606</v>
      </c>
      <c r="R40" s="34">
        <v>39772</v>
      </c>
      <c r="S40" s="34">
        <v>29604</v>
      </c>
      <c r="T40" s="35"/>
      <c r="U40" s="26"/>
      <c r="V40" s="26" t="s">
        <v>191</v>
      </c>
      <c r="W40" s="26" t="s">
        <v>13</v>
      </c>
      <c r="X40" s="26"/>
      <c r="Y40" s="26" t="s">
        <v>315</v>
      </c>
      <c r="Z40" s="26">
        <v>39124</v>
      </c>
      <c r="AA40" s="26" t="s">
        <v>316</v>
      </c>
      <c r="AB40" s="26"/>
      <c r="AC40" s="34">
        <v>43140</v>
      </c>
      <c r="AD40" s="26">
        <v>110.59</v>
      </c>
      <c r="AE40" s="26">
        <v>116.19</v>
      </c>
      <c r="AG40" s="22" t="str">
        <f t="shared" si="1"/>
        <v>EXECUTE [dbo].[PG_CI_OPERADOR] 0, 0, 0, 371, 'HERNANDEZ BAUTISTA, JERMAN ' , '' , 20 , 1 , 0, 2,'JERMAN ', 'HERNANDEZ', 'BAUTISTA' , 'HEBJ8101183P7', 'HEBJ810118HGRRTR07', '72018107606', 11-20-2008, '01-18-1981','','','VICENTE GUERRERO','S/N','','LOS CAJELITOS','39124','CHILPANCINGO DE LOS BRAVOS','','02-09-2018', 110.59,'116.19''</v>
      </c>
      <c r="AH40" s="11"/>
    </row>
    <row r="41" spans="1:34" s="10" customFormat="1" x14ac:dyDescent="0.25">
      <c r="A41" s="18"/>
      <c r="B41" s="19">
        <v>0</v>
      </c>
      <c r="C41" s="19">
        <v>0</v>
      </c>
      <c r="D41" s="19">
        <v>0</v>
      </c>
      <c r="E41" s="28">
        <v>372</v>
      </c>
      <c r="F41" s="20" t="str">
        <f t="shared" si="0"/>
        <v>HERNANDEZ ULLOA, ROBERTO CARLOS</v>
      </c>
      <c r="G41" s="21"/>
      <c r="H41" s="28">
        <v>20</v>
      </c>
      <c r="I41" s="28">
        <v>2</v>
      </c>
      <c r="J41" s="28">
        <v>3</v>
      </c>
      <c r="K41" s="28">
        <v>2</v>
      </c>
      <c r="L41" s="26" t="s">
        <v>2149</v>
      </c>
      <c r="M41" s="26" t="s">
        <v>1713</v>
      </c>
      <c r="N41" s="26" t="s">
        <v>1789</v>
      </c>
      <c r="O41" s="26" t="s">
        <v>2348</v>
      </c>
      <c r="P41" s="26" t="s">
        <v>318</v>
      </c>
      <c r="Q41" s="26">
        <v>13068902868</v>
      </c>
      <c r="R41" s="34">
        <v>41556</v>
      </c>
      <c r="S41" s="34">
        <v>32753</v>
      </c>
      <c r="T41" s="35" t="s">
        <v>319</v>
      </c>
      <c r="U41" s="26"/>
      <c r="V41" s="26" t="s">
        <v>2759</v>
      </c>
      <c r="W41" s="26" t="s">
        <v>13</v>
      </c>
      <c r="X41" s="26"/>
      <c r="Y41" s="26" t="s">
        <v>321</v>
      </c>
      <c r="Z41" s="26">
        <v>54680</v>
      </c>
      <c r="AA41" s="26" t="s">
        <v>322</v>
      </c>
      <c r="AB41" s="26" t="s">
        <v>323</v>
      </c>
      <c r="AC41" s="34">
        <v>43042</v>
      </c>
      <c r="AD41" s="26">
        <v>110.59</v>
      </c>
      <c r="AE41" s="26">
        <v>115.74</v>
      </c>
      <c r="AG41" s="22" t="str">
        <f t="shared" si="1"/>
        <v>EXECUTE [dbo].[PG_CI_OPERADOR] 0, 0, 0, 372, 'HERNANDEZ ULLOA, ROBERTO CARLOS' , '' , 20 , 2 , 3, 2,'ROBERTO CARLOS', 'HERNANDEZ', 'ULLOA' , 'HEUR890902', 'HEUR890902HHGRLB06', '13068902868', 10-09-2013, '09-02-1989','4619 7753','','AV. LEGISLATURA','S/N','','SAN MIGUEL JAGÃœEYES','54680','HUEHUETOCA','DF00156413    B-E','11-03-2017', 110.59,'115.74''</v>
      </c>
      <c r="AH41" s="11"/>
    </row>
    <row r="42" spans="1:34" s="10" customFormat="1" x14ac:dyDescent="0.25">
      <c r="A42" s="18"/>
      <c r="B42" s="19">
        <v>0</v>
      </c>
      <c r="C42" s="19">
        <v>0</v>
      </c>
      <c r="D42" s="19">
        <v>0</v>
      </c>
      <c r="E42" s="28">
        <v>373</v>
      </c>
      <c r="F42" s="20" t="str">
        <f t="shared" si="0"/>
        <v xml:space="preserve">HERRERA ANDAZOLA, ARNULFO </v>
      </c>
      <c r="G42" s="21"/>
      <c r="H42" s="28">
        <v>19</v>
      </c>
      <c r="I42" s="28">
        <v>1</v>
      </c>
      <c r="J42" s="28">
        <v>0</v>
      </c>
      <c r="K42" s="28">
        <v>2</v>
      </c>
      <c r="L42" s="26" t="s">
        <v>2150</v>
      </c>
      <c r="M42" s="26" t="s">
        <v>1792</v>
      </c>
      <c r="N42" s="26" t="s">
        <v>1793</v>
      </c>
      <c r="O42" s="26" t="s">
        <v>2349</v>
      </c>
      <c r="P42" s="26" t="s">
        <v>325</v>
      </c>
      <c r="Q42" s="26">
        <v>33675011275</v>
      </c>
      <c r="R42" s="34">
        <v>38902</v>
      </c>
      <c r="S42" s="34">
        <v>18390</v>
      </c>
      <c r="T42" s="35"/>
      <c r="U42" s="26"/>
      <c r="V42" s="26" t="s">
        <v>2475</v>
      </c>
      <c r="W42" s="26">
        <v>9013</v>
      </c>
      <c r="X42" s="26"/>
      <c r="Y42" s="26" t="s">
        <v>327</v>
      </c>
      <c r="Z42" s="26">
        <v>31100</v>
      </c>
      <c r="AA42" s="26" t="s">
        <v>118</v>
      </c>
      <c r="AB42" s="26"/>
      <c r="AC42" s="34">
        <v>42684</v>
      </c>
      <c r="AD42" s="26">
        <v>110.59</v>
      </c>
      <c r="AE42" s="26">
        <v>116.35</v>
      </c>
      <c r="AG42" s="22" t="str">
        <f t="shared" si="1"/>
        <v>EXECUTE [dbo].[PG_CI_OPERADOR] 0, 0, 0, 373, 'HERRERA ANDAZOLA, ARNULFO ' , '' , 19 , 1 , 0, 2,'ARNULFO ', 'HERRERA', 'ANDAZOLA' , 'HEAA500507FF4', 'HEAA500507HCHRNR00', '33675011275', 07-04-2006, '05-07-1950','','','CHOFERES','9013','','2 DE JUNIO','31100','CHIHUAHUA','','11-10-2016', 110.59,'116.35''</v>
      </c>
      <c r="AH42" s="11"/>
    </row>
    <row r="43" spans="1:34" s="10" customFormat="1" x14ac:dyDescent="0.25">
      <c r="A43" s="18"/>
      <c r="B43" s="19">
        <v>0</v>
      </c>
      <c r="C43" s="19">
        <v>0</v>
      </c>
      <c r="D43" s="19">
        <v>0</v>
      </c>
      <c r="E43" s="28">
        <v>374</v>
      </c>
      <c r="F43" s="20" t="str">
        <f t="shared" si="0"/>
        <v xml:space="preserve">JIMENEZ CASTILLO, MARGARITO </v>
      </c>
      <c r="G43" s="21"/>
      <c r="H43" s="28">
        <v>20</v>
      </c>
      <c r="I43" s="28">
        <v>1</v>
      </c>
      <c r="J43" s="28">
        <v>2</v>
      </c>
      <c r="K43" s="28">
        <v>2</v>
      </c>
      <c r="L43" s="26" t="s">
        <v>2151</v>
      </c>
      <c r="M43" s="26" t="s">
        <v>1795</v>
      </c>
      <c r="N43" s="26" t="s">
        <v>1745</v>
      </c>
      <c r="O43" s="26" t="s">
        <v>2350</v>
      </c>
      <c r="P43" s="26" t="s">
        <v>329</v>
      </c>
      <c r="Q43" s="26">
        <v>13826601372</v>
      </c>
      <c r="R43" s="34">
        <v>40948</v>
      </c>
      <c r="S43" s="34">
        <v>24498</v>
      </c>
      <c r="T43" s="35" t="s">
        <v>330</v>
      </c>
      <c r="U43" s="26"/>
      <c r="V43" s="26" t="s">
        <v>331</v>
      </c>
      <c r="W43" s="26" t="s">
        <v>13</v>
      </c>
      <c r="X43" s="26"/>
      <c r="Y43" s="26" t="s">
        <v>332</v>
      </c>
      <c r="Z43" s="26">
        <v>42980</v>
      </c>
      <c r="AA43" s="26" t="s">
        <v>333</v>
      </c>
      <c r="AB43" s="26" t="s">
        <v>334</v>
      </c>
      <c r="AC43" s="34">
        <v>43471</v>
      </c>
      <c r="AD43" s="26">
        <v>110.59</v>
      </c>
      <c r="AE43" s="26">
        <v>116.04</v>
      </c>
      <c r="AG43" s="22" t="str">
        <f t="shared" si="1"/>
        <v>EXECUTE [dbo].[PG_CI_OPERADOR] 0, 0, 0, 374, 'JIMENEZ CASTILLO, MARGARITO ' , '' , 20 , 1 , 2, 2,'MARGARITO ', 'JIMENEZ', 'CASTILLO' , 'JICM670126FT8', 'JICM670126HHGMSR09', '13826601372', 02-09-2012, '01-26-1967','01599 9482116','','CANAL ARTICULO 27','S/N','','EL REFUGIO','42980','ATOTONILCO DE TULA','DF118520    B-E','01-06-2019', 110.59,'116.04''</v>
      </c>
      <c r="AH43" s="11"/>
    </row>
    <row r="44" spans="1:34" s="10" customFormat="1" x14ac:dyDescent="0.25">
      <c r="A44" s="18"/>
      <c r="B44" s="19">
        <v>0</v>
      </c>
      <c r="C44" s="19">
        <v>0</v>
      </c>
      <c r="D44" s="19">
        <v>0</v>
      </c>
      <c r="E44" s="28">
        <v>375</v>
      </c>
      <c r="F44" s="20" t="str">
        <f t="shared" si="0"/>
        <v xml:space="preserve">LINALDI MARTINEZ, ENRIQUE </v>
      </c>
      <c r="G44" s="21"/>
      <c r="H44" s="28">
        <v>20</v>
      </c>
      <c r="I44" s="28">
        <v>1</v>
      </c>
      <c r="J44" s="28">
        <v>0</v>
      </c>
      <c r="K44" s="28">
        <v>2</v>
      </c>
      <c r="L44" s="26" t="s">
        <v>2152</v>
      </c>
      <c r="M44" s="26" t="s">
        <v>1701</v>
      </c>
      <c r="N44" s="26" t="s">
        <v>1765</v>
      </c>
      <c r="O44" s="26" t="s">
        <v>2351</v>
      </c>
      <c r="P44" s="26" t="s">
        <v>336</v>
      </c>
      <c r="Q44" s="26">
        <v>67826508599</v>
      </c>
      <c r="R44" s="34">
        <v>39472</v>
      </c>
      <c r="S44" s="34">
        <v>23803</v>
      </c>
      <c r="T44" s="35"/>
      <c r="U44" s="26"/>
      <c r="V44" s="26" t="s">
        <v>2760</v>
      </c>
      <c r="W44" s="26">
        <v>187</v>
      </c>
      <c r="X44" s="26"/>
      <c r="Y44" s="26" t="s">
        <v>338</v>
      </c>
      <c r="Z44" s="26">
        <v>68443</v>
      </c>
      <c r="AA44" s="26" t="s">
        <v>339</v>
      </c>
      <c r="AB44" s="26"/>
      <c r="AC44" s="34">
        <v>42684</v>
      </c>
      <c r="AD44" s="26">
        <v>110.59</v>
      </c>
      <c r="AE44" s="26">
        <v>116.19</v>
      </c>
      <c r="AG44" s="22" t="str">
        <f t="shared" si="1"/>
        <v>EXECUTE [dbo].[PG_CI_OPERADOR] 0, 0, 0, 375, 'LINALDI MARTINEZ, ENRIQUE ' , '' , 20 , 1 , 0, 2,'ENRIQUE ', 'LINALDI', 'MARTINEZ' , 'LIME650302QR5', 'LIME650302HOCNRN05', '67826508599', 01-25-2008, '03-02-1965','','','AV. MANUEL AVILA CAMACHO','187','','SAN ANTONIO ENCINAL','68443','TUXTEPEC','','11-10-2016', 110.59,'116.19''</v>
      </c>
      <c r="AH44" s="11"/>
    </row>
    <row r="45" spans="1:34" s="10" customFormat="1" x14ac:dyDescent="0.25">
      <c r="A45" s="18"/>
      <c r="B45" s="19">
        <v>0</v>
      </c>
      <c r="C45" s="19">
        <v>0</v>
      </c>
      <c r="D45" s="19">
        <v>0</v>
      </c>
      <c r="E45" s="28">
        <v>376</v>
      </c>
      <c r="F45" s="20" t="str">
        <f t="shared" si="0"/>
        <v>LINALDI MARTINEZ, JUAN JOSE</v>
      </c>
      <c r="G45" s="21"/>
      <c r="H45" s="28">
        <v>20</v>
      </c>
      <c r="I45" s="28">
        <v>1</v>
      </c>
      <c r="J45" s="28">
        <v>0</v>
      </c>
      <c r="K45" s="28">
        <v>2</v>
      </c>
      <c r="L45" s="26" t="s">
        <v>2153</v>
      </c>
      <c r="M45" s="26" t="s">
        <v>1701</v>
      </c>
      <c r="N45" s="26" t="s">
        <v>1765</v>
      </c>
      <c r="O45" s="26" t="s">
        <v>2352</v>
      </c>
      <c r="P45" s="26" t="s">
        <v>341</v>
      </c>
      <c r="Q45" s="26">
        <v>78947025199</v>
      </c>
      <c r="R45" s="34">
        <v>41222</v>
      </c>
      <c r="S45" s="34">
        <v>25707</v>
      </c>
      <c r="T45" s="35" t="s">
        <v>342</v>
      </c>
      <c r="U45" s="26"/>
      <c r="V45" s="26" t="s">
        <v>1322</v>
      </c>
      <c r="W45" s="26">
        <v>115</v>
      </c>
      <c r="X45" s="26"/>
      <c r="Y45" s="26" t="s">
        <v>344</v>
      </c>
      <c r="Z45" s="26">
        <v>68330</v>
      </c>
      <c r="AA45" s="26" t="s">
        <v>270</v>
      </c>
      <c r="AB45" s="26"/>
      <c r="AC45" s="34">
        <v>42684</v>
      </c>
      <c r="AD45" s="26">
        <v>110.59</v>
      </c>
      <c r="AE45" s="26">
        <v>115.74</v>
      </c>
      <c r="AG45" s="22" t="str">
        <f t="shared" si="1"/>
        <v>EXECUTE [dbo].[PG_CI_OPERADOR] 0, 0, 0, 376, 'LINALDI MARTINEZ, JUAN JOSE' , '' , 20 , 1 , 0, 2,'JUAN JOSE', 'LINALDI', 'MARTINEZ' , 'LIMJ700519U4A', 'LIMJ700519HOCNRN06', '78947025199', 11-09-2012, '05-19-1970','01287 87 16 387','','EMILIANO ZAPATA','115','','SAN ANTONIO EL ENCINAL','68330','SAN JUAN BAUTISTA TUXTEPEC','','11-10-2016', 110.59,'115.74''</v>
      </c>
      <c r="AH45" s="11"/>
    </row>
    <row r="46" spans="1:34" s="10" customFormat="1" x14ac:dyDescent="0.25">
      <c r="A46" s="18"/>
      <c r="B46" s="19">
        <v>0</v>
      </c>
      <c r="C46" s="19">
        <v>0</v>
      </c>
      <c r="D46" s="19">
        <v>0</v>
      </c>
      <c r="E46" s="28">
        <v>377</v>
      </c>
      <c r="F46" s="20" t="str">
        <f t="shared" si="0"/>
        <v xml:space="preserve">LINALDI MARTINEZ, MARIANO </v>
      </c>
      <c r="G46" s="21"/>
      <c r="H46" s="28">
        <v>20</v>
      </c>
      <c r="I46" s="28">
        <v>2</v>
      </c>
      <c r="J46" s="28">
        <v>2</v>
      </c>
      <c r="K46" s="28">
        <v>2</v>
      </c>
      <c r="L46" s="26" t="s">
        <v>2154</v>
      </c>
      <c r="M46" s="26" t="s">
        <v>1701</v>
      </c>
      <c r="N46" s="26" t="s">
        <v>1765</v>
      </c>
      <c r="O46" s="26" t="s">
        <v>2353</v>
      </c>
      <c r="P46" s="26" t="s">
        <v>346</v>
      </c>
      <c r="Q46" s="26">
        <v>78826604841</v>
      </c>
      <c r="R46" s="34">
        <v>41971</v>
      </c>
      <c r="S46" s="34">
        <v>24359</v>
      </c>
      <c r="T46" s="35"/>
      <c r="U46" s="26"/>
      <c r="V46" s="26" t="s">
        <v>2761</v>
      </c>
      <c r="W46" s="26">
        <v>31</v>
      </c>
      <c r="X46" s="26" t="s">
        <v>2477</v>
      </c>
      <c r="Y46" s="26" t="s">
        <v>179</v>
      </c>
      <c r="Z46" s="26">
        <v>90200</v>
      </c>
      <c r="AA46" s="26" t="s">
        <v>348</v>
      </c>
      <c r="AB46" s="26" t="s">
        <v>350</v>
      </c>
      <c r="AC46" s="34">
        <v>43471</v>
      </c>
      <c r="AD46" s="26">
        <v>110.59</v>
      </c>
      <c r="AE46" s="26">
        <v>115.59</v>
      </c>
      <c r="AG46" s="22" t="str">
        <f t="shared" si="1"/>
        <v>EXECUTE [dbo].[PG_CI_OPERADOR] 0, 0, 0, 377, 'LINALDI MARTINEZ, MARIANO ' , '' , 20 , 2 , 2, 2,'MARIANO ', 'LINALDI', 'MARTINEZ' , 'LIMM66090977A', 'LIMM660909HOCNRR08', '78826604841', 11-28-2014, '09-09-1966','','','PRIV. RINCON DE LOS TULIPANES','31','LT-32','FRACCIONAMIENTO EL REFUGIO','90200','CALPULALPAN','VER106170    B-E','01-06-2019', 110.59,'115.59''</v>
      </c>
      <c r="AH46" s="11"/>
    </row>
    <row r="47" spans="1:34" s="10" customFormat="1" x14ac:dyDescent="0.25">
      <c r="A47" s="18"/>
      <c r="B47" s="19">
        <v>0</v>
      </c>
      <c r="C47" s="19">
        <v>0</v>
      </c>
      <c r="D47" s="19">
        <v>0</v>
      </c>
      <c r="E47" s="28">
        <v>378</v>
      </c>
      <c r="F47" s="20" t="str">
        <f t="shared" si="0"/>
        <v>LOYA NEVAREZ, JORGE ALBERTO</v>
      </c>
      <c r="G47" s="21"/>
      <c r="H47" s="28">
        <v>19</v>
      </c>
      <c r="I47" s="28">
        <v>1</v>
      </c>
      <c r="J47" s="28">
        <v>2</v>
      </c>
      <c r="K47" s="28">
        <v>2</v>
      </c>
      <c r="L47" s="26" t="s">
        <v>2155</v>
      </c>
      <c r="M47" s="26" t="s">
        <v>1799</v>
      </c>
      <c r="N47" s="26" t="s">
        <v>1800</v>
      </c>
      <c r="O47" s="26" t="s">
        <v>2354</v>
      </c>
      <c r="P47" s="26" t="s">
        <v>352</v>
      </c>
      <c r="Q47" s="26">
        <v>33836534595</v>
      </c>
      <c r="R47" s="34">
        <v>40989</v>
      </c>
      <c r="S47" s="34">
        <v>23775</v>
      </c>
      <c r="T47" s="35" t="s">
        <v>353</v>
      </c>
      <c r="U47" s="26"/>
      <c r="V47" s="26" t="s">
        <v>2762</v>
      </c>
      <c r="W47" s="26">
        <v>6951</v>
      </c>
      <c r="X47" s="26"/>
      <c r="Y47" s="26" t="s">
        <v>355</v>
      </c>
      <c r="Z47" s="26">
        <v>32121</v>
      </c>
      <c r="AA47" s="26" t="s">
        <v>117</v>
      </c>
      <c r="AB47" s="26" t="s">
        <v>356</v>
      </c>
      <c r="AC47" s="34">
        <v>41909</v>
      </c>
      <c r="AD47" s="26">
        <v>110.59</v>
      </c>
      <c r="AE47" s="26">
        <v>116.04</v>
      </c>
      <c r="AG47" s="22" t="str">
        <f t="shared" si="1"/>
        <v>EXECUTE [dbo].[PG_CI_OPERADOR] 0, 0, 0, 378, 'LOYA NEVAREZ, JORGE ALBERTO' , '' , 19 , 1 , 2, 2,'JORGE ALBERTO', 'LOYA', 'NEVAREZ' , 'LONJ650202KA0', 'LONJ650202HCHYVR06', '33836534595', 03-21-2012, '02-02-1965','656 5631537','','GUADALUPE BENITEZ','6951','','INFONAVIT JAUREZ NUEVO','32121','CD. JUAREZ','CHIH103556    E','09-27-2014', 110.59,'116.04''</v>
      </c>
      <c r="AH47" s="11"/>
    </row>
    <row r="48" spans="1:34" s="10" customFormat="1" x14ac:dyDescent="0.25">
      <c r="A48" s="18"/>
      <c r="B48" s="19">
        <v>0</v>
      </c>
      <c r="C48" s="19">
        <v>0</v>
      </c>
      <c r="D48" s="19">
        <v>0</v>
      </c>
      <c r="E48" s="28">
        <v>379</v>
      </c>
      <c r="F48" s="20" t="str">
        <f t="shared" si="0"/>
        <v xml:space="preserve">MALDONADO GARCIA, EDUARDO </v>
      </c>
      <c r="G48" s="21"/>
      <c r="H48" s="28">
        <v>20</v>
      </c>
      <c r="I48" s="28">
        <v>2</v>
      </c>
      <c r="J48" s="28">
        <v>2</v>
      </c>
      <c r="K48" s="28">
        <v>2</v>
      </c>
      <c r="L48" s="26" t="s">
        <v>2156</v>
      </c>
      <c r="M48" s="26" t="s">
        <v>1803</v>
      </c>
      <c r="N48" s="26" t="s">
        <v>1773</v>
      </c>
      <c r="O48" s="26" t="s">
        <v>2355</v>
      </c>
      <c r="P48" s="26" t="s">
        <v>358</v>
      </c>
      <c r="Q48" s="26">
        <v>20947308613</v>
      </c>
      <c r="R48" s="34">
        <v>39689</v>
      </c>
      <c r="S48" s="34">
        <v>26922</v>
      </c>
      <c r="T48" s="35"/>
      <c r="U48" s="26"/>
      <c r="V48" s="26" t="s">
        <v>2763</v>
      </c>
      <c r="W48" s="26" t="s">
        <v>2478</v>
      </c>
      <c r="X48" s="26"/>
      <c r="Y48" s="26" t="s">
        <v>360</v>
      </c>
      <c r="Z48" s="26">
        <v>55060</v>
      </c>
      <c r="AA48" s="26" t="s">
        <v>240</v>
      </c>
      <c r="AB48" s="26" t="s">
        <v>361</v>
      </c>
      <c r="AC48" s="34">
        <v>42901</v>
      </c>
      <c r="AD48" s="26">
        <v>110.59</v>
      </c>
      <c r="AE48" s="26">
        <v>116.19</v>
      </c>
      <c r="AG48" s="22" t="str">
        <f t="shared" si="1"/>
        <v>EXECUTE [dbo].[PG_CI_OPERADOR] 0, 0, 0, 379, 'MALDONADO GARCIA, EDUARDO ' , '' , 20 , 2 , 2, 2,'EDUARDO ', 'MALDONADO', 'GARCIA' , 'MAGE7309159C7', 'MAGE730915HDFLRD04', '20947308613', 08-29-2008, '09-15-1973','','','ALCATRACES DE KALO','10-A','','LOS ALCATRACES','55060','ECATEPEC DE MORELOS','DF00156365   B-E','06-15-2017', 110.59,'116.19''</v>
      </c>
      <c r="AH48" s="11"/>
    </row>
    <row r="49" spans="1:34" s="10" customFormat="1" x14ac:dyDescent="0.25">
      <c r="A49" s="18"/>
      <c r="B49" s="19">
        <v>0</v>
      </c>
      <c r="C49" s="19">
        <v>0</v>
      </c>
      <c r="D49" s="19">
        <v>0</v>
      </c>
      <c r="E49" s="28">
        <v>380</v>
      </c>
      <c r="F49" s="20" t="str">
        <f t="shared" si="0"/>
        <v>MARTINEZ CANO, JOSE ENRIQUE</v>
      </c>
      <c r="G49" s="21"/>
      <c r="H49" s="28">
        <v>20</v>
      </c>
      <c r="I49" s="28">
        <v>1</v>
      </c>
      <c r="J49" s="28">
        <v>2</v>
      </c>
      <c r="K49" s="28">
        <v>2</v>
      </c>
      <c r="L49" s="26" t="s">
        <v>2157</v>
      </c>
      <c r="M49" s="26" t="s">
        <v>1765</v>
      </c>
      <c r="N49" s="26" t="s">
        <v>1805</v>
      </c>
      <c r="O49" s="26" t="s">
        <v>2356</v>
      </c>
      <c r="P49" s="26" t="s">
        <v>363</v>
      </c>
      <c r="Q49" s="26">
        <v>16846300545</v>
      </c>
      <c r="R49" s="34">
        <v>41246</v>
      </c>
      <c r="S49" s="34">
        <v>23207</v>
      </c>
      <c r="T49" s="35" t="s">
        <v>364</v>
      </c>
      <c r="U49" s="26"/>
      <c r="V49" s="26" t="s">
        <v>2764</v>
      </c>
      <c r="W49" s="26" t="s">
        <v>2479</v>
      </c>
      <c r="X49" s="26" t="s">
        <v>2480</v>
      </c>
      <c r="Y49" s="26" t="s">
        <v>366</v>
      </c>
      <c r="Z49" s="26">
        <v>55736</v>
      </c>
      <c r="AA49" s="26" t="s">
        <v>367</v>
      </c>
      <c r="AB49" s="26" t="s">
        <v>368</v>
      </c>
      <c r="AC49" s="34">
        <v>43471</v>
      </c>
      <c r="AD49" s="26">
        <v>110.59</v>
      </c>
      <c r="AE49" s="26">
        <v>115.74</v>
      </c>
      <c r="AG49" s="22" t="str">
        <f t="shared" si="1"/>
        <v>EXECUTE [dbo].[PG_CI_OPERADOR] 0, 0, 0, 380, 'MARTINEZ CANO, JOSE ENRIQUE' , '' , 20 , 1 , 2, 2,'JOSE ENRIQUE', 'MARTINEZ', 'CANO' , 'MACE630715QY5', 'MACE630715HDFRNN09', '16846300545', 12-03-2012, '07-15-1963','50-48-67-78','','CERRO DEL TEPEYAC','MZ-15','LT-38','LOMAS DE COACALCO','55736','COACALCO','DF00103406    B-E','01-06-2019', 110.59,'115.74''</v>
      </c>
      <c r="AH49" s="11"/>
    </row>
    <row r="50" spans="1:34" s="10" customFormat="1" x14ac:dyDescent="0.25">
      <c r="A50" s="18"/>
      <c r="B50" s="19">
        <v>0</v>
      </c>
      <c r="C50" s="19">
        <v>0</v>
      </c>
      <c r="D50" s="19">
        <v>0</v>
      </c>
      <c r="E50" s="28">
        <v>381</v>
      </c>
      <c r="F50" s="20" t="str">
        <f t="shared" si="0"/>
        <v xml:space="preserve">MARTINEZ QUINTANA, JORGE </v>
      </c>
      <c r="G50" s="21"/>
      <c r="H50" s="28">
        <v>20</v>
      </c>
      <c r="I50" s="28">
        <v>2</v>
      </c>
      <c r="J50" s="28">
        <v>0</v>
      </c>
      <c r="K50" s="28">
        <v>2</v>
      </c>
      <c r="L50" s="26" t="s">
        <v>2158</v>
      </c>
      <c r="M50" s="26" t="s">
        <v>1765</v>
      </c>
      <c r="N50" s="26" t="s">
        <v>1806</v>
      </c>
      <c r="O50" s="26" t="s">
        <v>2357</v>
      </c>
      <c r="P50" s="26" t="s">
        <v>370</v>
      </c>
      <c r="Q50" s="26">
        <v>96937439477</v>
      </c>
      <c r="R50" s="34">
        <v>39899</v>
      </c>
      <c r="S50" s="34">
        <v>27123</v>
      </c>
      <c r="T50" s="35"/>
      <c r="U50" s="26"/>
      <c r="V50" s="26" t="s">
        <v>2765</v>
      </c>
      <c r="W50" s="26"/>
      <c r="X50" s="26" t="s">
        <v>2485</v>
      </c>
      <c r="Y50" s="26" t="s">
        <v>372</v>
      </c>
      <c r="Z50" s="26">
        <v>56240</v>
      </c>
      <c r="AA50" s="26" t="s">
        <v>373</v>
      </c>
      <c r="AB50" s="26"/>
      <c r="AC50" s="34">
        <v>43701</v>
      </c>
      <c r="AD50" s="26">
        <v>110.59</v>
      </c>
      <c r="AE50" s="26">
        <v>116.19</v>
      </c>
      <c r="AG50" s="22" t="str">
        <f t="shared" si="1"/>
        <v>EXECUTE [dbo].[PG_CI_OPERADOR] 0, 0, 0, 381, 'MARTINEZ QUINTANA, JORGE ' , '' , 20 , 2 , 0, 2,'JORGE ', 'MARTINEZ', 'QUINTANA' , 'MAQJ740404HA1', 'MAQJ740404HMCRNR09', '96937439477', 03-27-2009, '04-04-1974','','','CDA. DE LAS MANZANAS','','LT-9','JARDINES DE SANTA INES','56240','TEXCOCO','','08-24-2019', 110.59,'116.19''</v>
      </c>
      <c r="AH50" s="11"/>
    </row>
    <row r="51" spans="1:34" s="10" customFormat="1" x14ac:dyDescent="0.25">
      <c r="A51" s="18"/>
      <c r="B51" s="19">
        <v>0</v>
      </c>
      <c r="C51" s="19">
        <v>0</v>
      </c>
      <c r="D51" s="19">
        <v>0</v>
      </c>
      <c r="E51" s="28">
        <v>382</v>
      </c>
      <c r="F51" s="20" t="str">
        <f t="shared" si="0"/>
        <v>MARTINEZ RAMIREZ, JOSE OSCAR</v>
      </c>
      <c r="G51" s="21"/>
      <c r="H51" s="28">
        <v>19</v>
      </c>
      <c r="I51" s="28">
        <v>1</v>
      </c>
      <c r="J51" s="28">
        <v>2</v>
      </c>
      <c r="K51" s="28">
        <v>2</v>
      </c>
      <c r="L51" s="26" t="s">
        <v>2159</v>
      </c>
      <c r="M51" s="26" t="s">
        <v>1765</v>
      </c>
      <c r="N51" s="26" t="s">
        <v>1724</v>
      </c>
      <c r="O51" s="26" t="s">
        <v>2358</v>
      </c>
      <c r="P51" s="26" t="s">
        <v>375</v>
      </c>
      <c r="Q51" s="26">
        <v>33917509631</v>
      </c>
      <c r="R51" s="34">
        <v>41206</v>
      </c>
      <c r="S51" s="34">
        <v>27756</v>
      </c>
      <c r="T51" s="35" t="s">
        <v>376</v>
      </c>
      <c r="U51" s="26"/>
      <c r="V51" s="26" t="s">
        <v>2766</v>
      </c>
      <c r="W51" s="26">
        <v>3114</v>
      </c>
      <c r="X51" s="26"/>
      <c r="Y51" s="26" t="s">
        <v>378</v>
      </c>
      <c r="Z51" s="26">
        <v>32600</v>
      </c>
      <c r="AA51" s="26" t="s">
        <v>117</v>
      </c>
      <c r="AB51" s="26" t="s">
        <v>379</v>
      </c>
      <c r="AC51" s="34">
        <v>41834</v>
      </c>
      <c r="AD51" s="26">
        <v>110.59</v>
      </c>
      <c r="AE51" s="26">
        <v>115.89</v>
      </c>
      <c r="AG51" s="22" t="str">
        <f t="shared" si="1"/>
        <v>EXECUTE [dbo].[PG_CI_OPERADOR] 0, 0, 0, 382, 'MARTINEZ RAMIREZ, JOSE OSCAR' , '' , 19 , 1 , 2, 2,'JOSE OSCAR', 'MARTINEZ', 'RAMIREZ' , 'MARO751228412', 'MARO751228HCHRMS05', '33917509631', 10-24-2012, '12-28-1975','045 65 6193 5526','','FRANCISCO MAYORAL','3114','','INFONAVIT CASAS GRANDES','32600','CD. JUAREZ','CHIH202695    B-E','07-14-2014', 110.59,'115.89''</v>
      </c>
      <c r="AH51" s="11"/>
    </row>
    <row r="52" spans="1:34" s="10" customFormat="1" x14ac:dyDescent="0.25">
      <c r="A52" s="18"/>
      <c r="B52" s="19">
        <v>0</v>
      </c>
      <c r="C52" s="19">
        <v>0</v>
      </c>
      <c r="D52" s="19">
        <v>0</v>
      </c>
      <c r="E52" s="28">
        <v>383</v>
      </c>
      <c r="F52" s="20" t="str">
        <f t="shared" si="0"/>
        <v xml:space="preserve">MARTINEZ TORRES, HERIBERTO </v>
      </c>
      <c r="G52" s="21"/>
      <c r="H52" s="28">
        <v>20</v>
      </c>
      <c r="I52" s="28">
        <v>2</v>
      </c>
      <c r="J52" s="28">
        <v>2</v>
      </c>
      <c r="K52" s="28">
        <v>2</v>
      </c>
      <c r="L52" s="26" t="s">
        <v>2160</v>
      </c>
      <c r="M52" s="26" t="s">
        <v>1765</v>
      </c>
      <c r="N52" s="26" t="s">
        <v>1731</v>
      </c>
      <c r="O52" s="26" t="s">
        <v>381</v>
      </c>
      <c r="P52" s="26" t="s">
        <v>382</v>
      </c>
      <c r="Q52" s="26">
        <v>92887225495</v>
      </c>
      <c r="R52" s="34">
        <v>42314</v>
      </c>
      <c r="S52" s="34">
        <v>26476</v>
      </c>
      <c r="T52" s="35">
        <v>5524143129</v>
      </c>
      <c r="U52" s="26"/>
      <c r="V52" s="26" t="s">
        <v>2767</v>
      </c>
      <c r="W52" s="26" t="s">
        <v>13</v>
      </c>
      <c r="X52" s="26"/>
      <c r="Y52" s="26" t="s">
        <v>384</v>
      </c>
      <c r="Z52" s="26">
        <v>54680</v>
      </c>
      <c r="AA52" s="26" t="s">
        <v>322</v>
      </c>
      <c r="AB52" s="26" t="s">
        <v>385</v>
      </c>
      <c r="AC52" s="34">
        <v>43471</v>
      </c>
      <c r="AD52" s="26">
        <v>110.59</v>
      </c>
      <c r="AE52" s="26">
        <v>115.59</v>
      </c>
      <c r="AG52" s="22" t="str">
        <f t="shared" si="1"/>
        <v>EXECUTE [dbo].[PG_CI_OPERADOR] 0, 0, 0, 383, 'MARTINEZ TORRES, HERIBERTO ' , '' , 20 , 2 , 2, 2,'HERIBERTO ', 'MARTINEZ', 'TORRES' , 'MATH720626IZ7', 'MATH720626HDFRRR02', '92887225495', 11-06-2015, '06-26-1972','5524143129','','PRIV RIO CLARO','S/N','','BO. SALITRILLO','54680','HUEHUETOCA','DF00231236    E','01-06-2019', 110.59,'115.59''</v>
      </c>
      <c r="AH52" s="11"/>
    </row>
    <row r="53" spans="1:34" s="10" customFormat="1" x14ac:dyDescent="0.25">
      <c r="A53" s="18"/>
      <c r="B53" s="19">
        <v>0</v>
      </c>
      <c r="C53" s="19">
        <v>0</v>
      </c>
      <c r="D53" s="19">
        <v>0</v>
      </c>
      <c r="E53" s="28">
        <v>384</v>
      </c>
      <c r="F53" s="20" t="str">
        <f t="shared" si="0"/>
        <v>MAYORQUIN ROCHA, FRANCISCO JAVIER</v>
      </c>
      <c r="G53" s="21"/>
      <c r="H53" s="28">
        <v>20</v>
      </c>
      <c r="I53" s="28">
        <v>2</v>
      </c>
      <c r="J53" s="28">
        <v>2</v>
      </c>
      <c r="K53" s="28">
        <v>2</v>
      </c>
      <c r="L53" s="26" t="s">
        <v>2161</v>
      </c>
      <c r="M53" s="26" t="s">
        <v>1809</v>
      </c>
      <c r="N53" s="26" t="s">
        <v>1810</v>
      </c>
      <c r="O53" s="26" t="s">
        <v>2359</v>
      </c>
      <c r="P53" s="26" t="s">
        <v>387</v>
      </c>
      <c r="Q53" s="26">
        <v>2957702794</v>
      </c>
      <c r="R53" s="34">
        <v>41978</v>
      </c>
      <c r="S53" s="34">
        <v>28436</v>
      </c>
      <c r="T53" s="35" t="s">
        <v>388</v>
      </c>
      <c r="U53" s="26"/>
      <c r="V53" s="26" t="s">
        <v>2768</v>
      </c>
      <c r="W53" s="26">
        <v>641</v>
      </c>
      <c r="X53" s="26"/>
      <c r="Y53" s="26" t="s">
        <v>390</v>
      </c>
      <c r="Z53" s="26">
        <v>97370</v>
      </c>
      <c r="AA53" s="26" t="s">
        <v>391</v>
      </c>
      <c r="AB53" s="26" t="s">
        <v>393</v>
      </c>
      <c r="AC53" s="34">
        <v>43452</v>
      </c>
      <c r="AD53" s="26">
        <v>110.59</v>
      </c>
      <c r="AE53" s="26">
        <v>115.59</v>
      </c>
      <c r="AG53" s="22" t="str">
        <f t="shared" si="1"/>
        <v>EXECUTE [dbo].[PG_CI_OPERADOR] 0, 0, 0, 384, 'MAYORQUIN ROCHA, FRANCISCO JAVIER' , '' , 20 , 2 , 2, 2,'FRANCISCO JAVIER', 'MAYORQUIN', 'ROCHA' , 'MARF7711075D2', 'MARF771107HSLYCR04', '2957702794', 12-05-2014, '11-07-1977','999 748 0666','','CALLE 60 A','641','','FRACC. SANTA ISABEL','97370','KANASIN','CAMP01059    B-E','12-18-2018', 110.59,'115.59''</v>
      </c>
      <c r="AH53" s="11"/>
    </row>
    <row r="54" spans="1:34" s="10" customFormat="1" x14ac:dyDescent="0.25">
      <c r="A54" s="18"/>
      <c r="B54" s="19">
        <v>0</v>
      </c>
      <c r="C54" s="19">
        <v>0</v>
      </c>
      <c r="D54" s="19">
        <v>0</v>
      </c>
      <c r="E54" s="28">
        <v>385</v>
      </c>
      <c r="F54" s="20" t="str">
        <f t="shared" si="0"/>
        <v>MEDRANO HERNANDEZ, JESUS MANUEL</v>
      </c>
      <c r="G54" s="21"/>
      <c r="H54" s="28">
        <v>19</v>
      </c>
      <c r="I54" s="28">
        <v>1</v>
      </c>
      <c r="J54" s="28">
        <v>2</v>
      </c>
      <c r="K54" s="28">
        <v>2</v>
      </c>
      <c r="L54" s="26" t="s">
        <v>2162</v>
      </c>
      <c r="M54" s="26" t="s">
        <v>1811</v>
      </c>
      <c r="N54" s="26" t="s">
        <v>1713</v>
      </c>
      <c r="O54" s="26" t="s">
        <v>2360</v>
      </c>
      <c r="P54" s="26" t="s">
        <v>395</v>
      </c>
      <c r="Q54" s="26">
        <v>50917539665</v>
      </c>
      <c r="R54" s="34">
        <v>36770</v>
      </c>
      <c r="S54" s="34">
        <v>27449</v>
      </c>
      <c r="T54" s="35"/>
      <c r="U54" s="26"/>
      <c r="V54" s="26" t="s">
        <v>2769</v>
      </c>
      <c r="W54" s="26">
        <v>252</v>
      </c>
      <c r="X54" s="26"/>
      <c r="Y54" s="26" t="s">
        <v>397</v>
      </c>
      <c r="Z54" s="26">
        <v>31134</v>
      </c>
      <c r="AA54" s="26" t="s">
        <v>118</v>
      </c>
      <c r="AB54" s="26"/>
      <c r="AC54" s="34">
        <v>42684</v>
      </c>
      <c r="AD54" s="26">
        <v>110.59</v>
      </c>
      <c r="AE54" s="26">
        <v>116.5</v>
      </c>
      <c r="AG54" s="22" t="str">
        <f t="shared" si="1"/>
        <v>EXECUTE [dbo].[PG_CI_OPERADOR] 0, 0, 0, 385, 'MEDRANO HERNANDEZ, JESUS MANUEL' , '' , 19 , 1 , 2, 2,'JESUS MANUEL', 'MEDRANO', 'HERNANDEZ' , 'MEHJ750224M23', 'MEHJ750224HCHDRS02', '50917539665', 09-01-2000, '02-24-1975','','','ARTURO GOMEZ','252','','VILLA NUEVA','31134','CHIHUAHUA','','11-10-2016', 110.59,'116.5''</v>
      </c>
      <c r="AH54" s="11"/>
    </row>
    <row r="55" spans="1:34" s="10" customFormat="1" x14ac:dyDescent="0.25">
      <c r="A55" s="18"/>
      <c r="B55" s="19">
        <v>0</v>
      </c>
      <c r="C55" s="19">
        <v>0</v>
      </c>
      <c r="D55" s="19">
        <v>0</v>
      </c>
      <c r="E55" s="28">
        <v>386</v>
      </c>
      <c r="F55" s="20" t="str">
        <f t="shared" si="0"/>
        <v>MEZA TOLEDO, LUIS EDUARDO</v>
      </c>
      <c r="G55" s="21"/>
      <c r="H55" s="28">
        <v>20</v>
      </c>
      <c r="I55" s="28">
        <v>1</v>
      </c>
      <c r="J55" s="28">
        <v>2</v>
      </c>
      <c r="K55" s="28">
        <v>2</v>
      </c>
      <c r="L55" s="26" t="s">
        <v>2163</v>
      </c>
      <c r="M55" s="26" t="s">
        <v>1812</v>
      </c>
      <c r="N55" s="26" t="s">
        <v>1813</v>
      </c>
      <c r="O55" s="26" t="s">
        <v>2361</v>
      </c>
      <c r="P55" s="26" t="s">
        <v>399</v>
      </c>
      <c r="Q55" s="26">
        <v>78967015211</v>
      </c>
      <c r="R55" s="34">
        <v>41456</v>
      </c>
      <c r="S55" s="34">
        <v>27916</v>
      </c>
      <c r="T55" s="35">
        <v>9222204939</v>
      </c>
      <c r="U55" s="26"/>
      <c r="V55" s="26" t="s">
        <v>2770</v>
      </c>
      <c r="W55" s="26">
        <v>38</v>
      </c>
      <c r="X55" s="26"/>
      <c r="Y55" s="26" t="s">
        <v>401</v>
      </c>
      <c r="Z55" s="26">
        <v>68325</v>
      </c>
      <c r="AA55" s="26" t="s">
        <v>339</v>
      </c>
      <c r="AB55" s="26" t="s">
        <v>402</v>
      </c>
      <c r="AC55" s="34">
        <v>43471</v>
      </c>
      <c r="AD55" s="26">
        <v>110.59</v>
      </c>
      <c r="AE55" s="26">
        <v>115.89</v>
      </c>
      <c r="AG55" s="22" t="str">
        <f t="shared" si="1"/>
        <v>EXECUTE [dbo].[PG_CI_OPERADOR] 0, 0, 0, 386, 'MEZA TOLEDO, LUIS EDUARDO' , '' , 20 , 1 , 2, 2,'LUIS EDUARDO', 'MEZA', 'TOLEDO' , 'METL760605QM1', 'METL760605HOCZLS00', '78967015211', 07-01-2013, '06-05-1976','9222204939','','LOMAS DE LAS MARIPOSAS','38','','FRACC. LOMAS ALTAS','68325','TUXTEPEC','VER0116351','01-06-2019', 110.59,'115.89''</v>
      </c>
      <c r="AH55" s="11"/>
    </row>
    <row r="56" spans="1:34" s="10" customFormat="1" x14ac:dyDescent="0.25">
      <c r="A56" s="18"/>
      <c r="B56" s="19">
        <v>0</v>
      </c>
      <c r="C56" s="19">
        <v>0</v>
      </c>
      <c r="D56" s="19">
        <v>0</v>
      </c>
      <c r="E56" s="28">
        <v>387</v>
      </c>
      <c r="F56" s="20" t="str">
        <f t="shared" si="0"/>
        <v>MIRANDA ARMENTA, MANUEL REMBERTO</v>
      </c>
      <c r="G56" s="21"/>
      <c r="H56" s="28">
        <v>23</v>
      </c>
      <c r="I56" s="28">
        <v>1</v>
      </c>
      <c r="J56" s="28">
        <v>0</v>
      </c>
      <c r="K56" s="28">
        <v>2</v>
      </c>
      <c r="L56" s="26" t="s">
        <v>2164</v>
      </c>
      <c r="M56" s="26" t="s">
        <v>1814</v>
      </c>
      <c r="N56" s="26" t="s">
        <v>1815</v>
      </c>
      <c r="O56" s="26" t="s">
        <v>1016</v>
      </c>
      <c r="P56" s="26" t="s">
        <v>404</v>
      </c>
      <c r="Q56" s="26">
        <v>24917595498</v>
      </c>
      <c r="R56" s="34">
        <v>37926</v>
      </c>
      <c r="S56" s="34">
        <v>27500</v>
      </c>
      <c r="T56" s="35"/>
      <c r="U56" s="26"/>
      <c r="V56" s="26" t="s">
        <v>2488</v>
      </c>
      <c r="W56" s="26">
        <v>22</v>
      </c>
      <c r="X56" s="26">
        <v>302</v>
      </c>
      <c r="Y56" s="26" t="s">
        <v>406</v>
      </c>
      <c r="Z56" s="26">
        <v>84000</v>
      </c>
      <c r="AA56" s="26" t="s">
        <v>160</v>
      </c>
      <c r="AB56" s="26"/>
      <c r="AC56" s="34">
        <v>42684</v>
      </c>
      <c r="AD56" s="26">
        <v>110.59</v>
      </c>
      <c r="AE56" s="26">
        <v>116.35</v>
      </c>
      <c r="AG56" s="22" t="str">
        <f t="shared" si="1"/>
        <v>EXECUTE [dbo].[PG_CI_OPERADOR] 0, 0, 0, 387, 'MIRANDA ARMENTA, MANUEL REMBERTO' , '' , 23 , 1 , 0, 2,'MANUEL REMBERTO', 'MIRANDA', 'ARMENTA' , 'MIAM7504161V1', 'MIAM750416HSRRRN09', '24917595498', 11-01-2003, '04-16-1975','','','PIRUL','22','302','JARDINES DEL BOSQUE','84000','NOGALES','','11-10-2016', 110.59,'116.35''</v>
      </c>
      <c r="AH56" s="11"/>
    </row>
    <row r="57" spans="1:34" s="10" customFormat="1" x14ac:dyDescent="0.25">
      <c r="A57" s="18"/>
      <c r="B57" s="19">
        <v>0</v>
      </c>
      <c r="C57" s="19">
        <v>0</v>
      </c>
      <c r="D57" s="19">
        <v>0</v>
      </c>
      <c r="E57" s="28">
        <v>388</v>
      </c>
      <c r="F57" s="20" t="str">
        <f t="shared" si="0"/>
        <v>MOJARRO GONZALEZ, J GUADALUPE</v>
      </c>
      <c r="G57" s="21"/>
      <c r="H57" s="28">
        <v>17</v>
      </c>
      <c r="I57" s="28">
        <v>1</v>
      </c>
      <c r="J57" s="28">
        <v>0</v>
      </c>
      <c r="K57" s="28">
        <v>2</v>
      </c>
      <c r="L57" s="26" t="s">
        <v>2165</v>
      </c>
      <c r="M57" s="26" t="s">
        <v>1817</v>
      </c>
      <c r="N57" s="26" t="s">
        <v>1767</v>
      </c>
      <c r="O57" s="26" t="s">
        <v>2362</v>
      </c>
      <c r="P57" s="26" t="s">
        <v>408</v>
      </c>
      <c r="Q57" s="26">
        <v>55785603493</v>
      </c>
      <c r="R57" s="34">
        <v>37272</v>
      </c>
      <c r="S57" s="34">
        <v>20801</v>
      </c>
      <c r="T57" s="35"/>
      <c r="U57" s="26"/>
      <c r="V57" s="26" t="s">
        <v>2771</v>
      </c>
      <c r="W57" s="26">
        <v>24830</v>
      </c>
      <c r="X57" s="26"/>
      <c r="Y57" s="26" t="s">
        <v>410</v>
      </c>
      <c r="Z57" s="26">
        <v>22237</v>
      </c>
      <c r="AA57" s="26" t="s">
        <v>180</v>
      </c>
      <c r="AB57" s="26"/>
      <c r="AC57" s="34">
        <v>42684</v>
      </c>
      <c r="AD57" s="26">
        <v>110.59</v>
      </c>
      <c r="AE57" s="26">
        <v>116.35</v>
      </c>
      <c r="AG57" s="22" t="str">
        <f t="shared" si="1"/>
        <v>EXECUTE [dbo].[PG_CI_OPERADOR] 0, 0, 0, 388, 'MOJARRO GONZALEZ, J GUADALUPE' , '' , 17 , 1 , 0, 2,'J GUADALUPE', 'MOJARRO', 'GONZALEZ' , 'MOGJ561212UZ1', 'MOGG561212HNTJND00', '55785603493', 01-16-2002, '12-12-1956','','','PIÑA','24830','','FLORIDA 2a SECCION','22237','TIJUANA','','11-10-2016', 110.59,'116.35''</v>
      </c>
      <c r="AH57" s="11"/>
    </row>
    <row r="58" spans="1:34" s="10" customFormat="1" x14ac:dyDescent="0.25">
      <c r="A58" s="18"/>
      <c r="B58" s="19">
        <v>0</v>
      </c>
      <c r="C58" s="19">
        <v>0</v>
      </c>
      <c r="D58" s="19">
        <v>0</v>
      </c>
      <c r="E58" s="28">
        <v>389</v>
      </c>
      <c r="F58" s="20" t="str">
        <f t="shared" si="0"/>
        <v>MONDACA FELIX, JOSE ALFREDO</v>
      </c>
      <c r="G58" s="21"/>
      <c r="H58" s="28">
        <v>7</v>
      </c>
      <c r="I58" s="28">
        <v>2</v>
      </c>
      <c r="J58" s="28">
        <v>0</v>
      </c>
      <c r="K58" s="28">
        <v>2</v>
      </c>
      <c r="L58" s="26" t="s">
        <v>2166</v>
      </c>
      <c r="M58" s="26" t="s">
        <v>1820</v>
      </c>
      <c r="N58" s="26" t="s">
        <v>1771</v>
      </c>
      <c r="O58" s="26" t="s">
        <v>2363</v>
      </c>
      <c r="P58" s="26" t="s">
        <v>413</v>
      </c>
      <c r="Q58" s="26">
        <v>23916625710</v>
      </c>
      <c r="R58" s="34">
        <v>41214</v>
      </c>
      <c r="S58" s="34">
        <v>24469</v>
      </c>
      <c r="T58" s="35" t="s">
        <v>414</v>
      </c>
      <c r="U58" s="26"/>
      <c r="V58" s="26" t="s">
        <v>2772</v>
      </c>
      <c r="W58" s="26">
        <v>2223</v>
      </c>
      <c r="X58" s="26"/>
      <c r="Y58" s="26" t="s">
        <v>416</v>
      </c>
      <c r="Z58" s="26">
        <v>21270</v>
      </c>
      <c r="AA58" s="26" t="s">
        <v>417</v>
      </c>
      <c r="AB58" s="26" t="s">
        <v>418</v>
      </c>
      <c r="AC58" s="34">
        <v>43452</v>
      </c>
      <c r="AD58" s="26">
        <v>117.6</v>
      </c>
      <c r="AE58" s="26">
        <v>122.92</v>
      </c>
      <c r="AG58" s="22" t="str">
        <f t="shared" si="1"/>
        <v>EXECUTE [dbo].[PG_CI_OPERADOR] 0, 0, 0, 389, 'MONDACA FELIX, JOSE ALFREDO' , '' , 7 , 2 , 0, 2,'JOSE ALFREDO', 'MONDACA', 'FELIX' , 'MOFA661228KQ5', 'MOFA661228HSLNLL04', '23916625710', 11-01-2012, '12-28-1966','668 862 5268','','CERRO DE LA SILLA','2223','','VILLAS DE MOMTERREY','21270','GUASAVE','SIN103391   E','12-18-2018', 117.6,'122.92''</v>
      </c>
      <c r="AH58" s="11"/>
    </row>
    <row r="59" spans="1:34" s="10" customFormat="1" x14ac:dyDescent="0.25">
      <c r="A59" s="18"/>
      <c r="B59" s="19">
        <v>0</v>
      </c>
      <c r="C59" s="19">
        <v>0</v>
      </c>
      <c r="D59" s="19">
        <v>0</v>
      </c>
      <c r="E59" s="28">
        <v>390</v>
      </c>
      <c r="F59" s="20" t="str">
        <f t="shared" si="0"/>
        <v>MORALES DE, JESUS ARTURO</v>
      </c>
      <c r="G59" s="21"/>
      <c r="H59" s="28">
        <v>20</v>
      </c>
      <c r="I59" s="28">
        <v>1</v>
      </c>
      <c r="J59" s="28">
        <v>2</v>
      </c>
      <c r="K59" s="28">
        <v>2</v>
      </c>
      <c r="L59" s="26" t="s">
        <v>2167</v>
      </c>
      <c r="M59" s="26" t="s">
        <v>1822</v>
      </c>
      <c r="N59" s="26" t="s">
        <v>1823</v>
      </c>
      <c r="O59" s="26" t="s">
        <v>2364</v>
      </c>
      <c r="P59" s="26" t="s">
        <v>420</v>
      </c>
      <c r="Q59" s="26">
        <v>67947502315</v>
      </c>
      <c r="R59" s="34">
        <v>42237</v>
      </c>
      <c r="S59" s="34">
        <v>27577</v>
      </c>
      <c r="T59" s="35">
        <v>7731352054</v>
      </c>
      <c r="U59" s="26"/>
      <c r="V59" s="26" t="s">
        <v>2490</v>
      </c>
      <c r="W59" s="26">
        <v>1</v>
      </c>
      <c r="X59" s="26"/>
      <c r="Y59" s="26" t="s">
        <v>422</v>
      </c>
      <c r="Z59" s="26">
        <v>94780</v>
      </c>
      <c r="AA59" s="26" t="s">
        <v>423</v>
      </c>
      <c r="AB59" s="26"/>
      <c r="AC59" s="34">
        <v>42684</v>
      </c>
      <c r="AD59" s="26">
        <v>110.59</v>
      </c>
      <c r="AE59" s="26">
        <v>115.59</v>
      </c>
      <c r="AG59" s="22" t="str">
        <f t="shared" si="1"/>
        <v>EXECUTE [dbo].[PG_CI_OPERADOR] 0, 0, 0, 390, 'MORALES DE, JESUS ARTURO' , '' , 20 , 1 , 2, 2,'JESUS ARTURO', 'MORALES', 'DE' , 'MOJA750702N21', 'MOJA750702HVZRSR01', '67947502315', 08-21-2015, '07-02-1975','7731352054','','CUAUTEMOC','1','','EMANCIPACIÃ’N OBRERA','94780','HUILOAPAN DE CUAUHTEMOC','','11-10-2016', 110.59,'115.59''</v>
      </c>
      <c r="AH59" s="11"/>
    </row>
    <row r="60" spans="1:34" s="10" customFormat="1" x14ac:dyDescent="0.25">
      <c r="A60" s="18"/>
      <c r="B60" s="19">
        <v>0</v>
      </c>
      <c r="C60" s="19">
        <v>0</v>
      </c>
      <c r="D60" s="19">
        <v>0</v>
      </c>
      <c r="E60" s="28">
        <v>391</v>
      </c>
      <c r="F60" s="20" t="str">
        <f t="shared" si="0"/>
        <v xml:space="preserve">MORALES MONTOYA, GERARDO </v>
      </c>
      <c r="G60" s="21"/>
      <c r="H60" s="28">
        <v>20</v>
      </c>
      <c r="I60" s="28">
        <v>1</v>
      </c>
      <c r="J60" s="28">
        <v>0</v>
      </c>
      <c r="K60" s="28">
        <v>2</v>
      </c>
      <c r="L60" s="26" t="s">
        <v>2124</v>
      </c>
      <c r="M60" s="26" t="s">
        <v>1822</v>
      </c>
      <c r="N60" s="26" t="s">
        <v>1824</v>
      </c>
      <c r="O60" s="26" t="s">
        <v>2365</v>
      </c>
      <c r="P60" s="26" t="s">
        <v>425</v>
      </c>
      <c r="Q60" s="26">
        <v>96907322794</v>
      </c>
      <c r="R60" s="34">
        <v>39863</v>
      </c>
      <c r="S60" s="34">
        <v>26694</v>
      </c>
      <c r="T60" s="35"/>
      <c r="U60" s="26"/>
      <c r="V60" s="26" t="s">
        <v>2773</v>
      </c>
      <c r="W60" s="26" t="s">
        <v>2491</v>
      </c>
      <c r="X60" s="26" t="s">
        <v>2492</v>
      </c>
      <c r="Y60" s="26" t="s">
        <v>427</v>
      </c>
      <c r="Z60" s="26">
        <v>56589</v>
      </c>
      <c r="AA60" s="26" t="s">
        <v>428</v>
      </c>
      <c r="AB60" s="26" t="s">
        <v>429</v>
      </c>
      <c r="AC60" s="34">
        <v>43471</v>
      </c>
      <c r="AD60" s="26">
        <v>110.59</v>
      </c>
      <c r="AE60" s="26">
        <v>116.19</v>
      </c>
      <c r="AG60" s="22" t="str">
        <f t="shared" si="1"/>
        <v>EXECUTE [dbo].[PG_CI_OPERADOR] 0, 0, 0, 391, 'MORALES MONTOYA, GERARDO ' , '' , 20 , 1 , 0, 2,'GERARDO ', 'MORALES', 'MONTOYA' , 'MOMG730130A15', 'MOMG730130HDFRNR06', '96907322794', 02-19-2009, '01-30-1973','','','ALFREDO B. BONFIL','MZ-25','LT-34','DR. JORGE JIMENEZ CANTU','56589','IXTAPALUCA','SLP06001  B-E','01-06-2019', 110.59,'116.19''</v>
      </c>
      <c r="AH60" s="11"/>
    </row>
    <row r="61" spans="1:34" s="10" customFormat="1" x14ac:dyDescent="0.25">
      <c r="A61" s="18"/>
      <c r="B61" s="19">
        <v>0</v>
      </c>
      <c r="C61" s="19">
        <v>0</v>
      </c>
      <c r="D61" s="19">
        <v>0</v>
      </c>
      <c r="E61" s="28">
        <v>392</v>
      </c>
      <c r="F61" s="20" t="str">
        <f t="shared" si="0"/>
        <v xml:space="preserve">MORALES RENDON, JAVIER </v>
      </c>
      <c r="G61" s="21"/>
      <c r="H61" s="28">
        <v>20</v>
      </c>
      <c r="I61" s="28">
        <v>1</v>
      </c>
      <c r="J61" s="28">
        <v>2</v>
      </c>
      <c r="K61" s="28">
        <v>2</v>
      </c>
      <c r="L61" s="26" t="s">
        <v>2168</v>
      </c>
      <c r="M61" s="26" t="s">
        <v>1822</v>
      </c>
      <c r="N61" s="26" t="s">
        <v>1825</v>
      </c>
      <c r="O61" s="26" t="s">
        <v>2366</v>
      </c>
      <c r="P61" s="26" t="s">
        <v>431</v>
      </c>
      <c r="Q61" s="26">
        <v>14816511589</v>
      </c>
      <c r="R61" s="34">
        <v>41652</v>
      </c>
      <c r="S61" s="34">
        <v>23867</v>
      </c>
      <c r="T61" s="35" t="s">
        <v>432</v>
      </c>
      <c r="U61" s="26"/>
      <c r="V61" s="26" t="s">
        <v>2493</v>
      </c>
      <c r="W61" s="26">
        <v>9</v>
      </c>
      <c r="X61" s="26"/>
      <c r="Y61" s="26" t="s">
        <v>434</v>
      </c>
      <c r="Z61" s="26">
        <v>42820</v>
      </c>
      <c r="AA61" s="26" t="s">
        <v>132</v>
      </c>
      <c r="AB61" s="26"/>
      <c r="AC61" s="34">
        <v>42684</v>
      </c>
      <c r="AD61" s="26">
        <v>110.59</v>
      </c>
      <c r="AE61" s="26">
        <v>115.59</v>
      </c>
      <c r="AG61" s="22" t="str">
        <f t="shared" si="1"/>
        <v>EXECUTE [dbo].[PG_CI_OPERADOR] 0, 0, 0, 392, 'MORALES RENDON, JAVIER ' , '' , 20 , 1 , 2, 2,'JAVIER ', 'MORALES', 'RENDON' , 'MORJ650505GA2', 'MORJ650505HQTRNV04', '14816511589', 01-13-2014, '05-05-1965','045 488 119 1542','','TLAZCAN','9','','FRACCIONAMIENTO','42820','TULA DE ALLENDE','','11-10-2016', 110.59,'115.59''</v>
      </c>
      <c r="AH61" s="11"/>
    </row>
    <row r="62" spans="1:34" s="10" customFormat="1" x14ac:dyDescent="0.25">
      <c r="A62" s="18"/>
      <c r="B62" s="19">
        <v>0</v>
      </c>
      <c r="C62" s="19">
        <v>0</v>
      </c>
      <c r="D62" s="19">
        <v>0</v>
      </c>
      <c r="E62" s="28">
        <v>393</v>
      </c>
      <c r="F62" s="20" t="str">
        <f t="shared" si="0"/>
        <v xml:space="preserve">MUÃ‘OZ HERNANDEZ, ALBERTO </v>
      </c>
      <c r="G62" s="21"/>
      <c r="H62" s="28">
        <v>20</v>
      </c>
      <c r="I62" s="28">
        <v>2</v>
      </c>
      <c r="J62" s="28">
        <v>2</v>
      </c>
      <c r="K62" s="28">
        <v>2</v>
      </c>
      <c r="L62" s="26" t="s">
        <v>2169</v>
      </c>
      <c r="M62" s="26" t="s">
        <v>1826</v>
      </c>
      <c r="N62" s="26" t="s">
        <v>1713</v>
      </c>
      <c r="O62" s="26" t="s">
        <v>2367</v>
      </c>
      <c r="P62" s="26" t="s">
        <v>436</v>
      </c>
      <c r="Q62" s="26">
        <v>1906204035</v>
      </c>
      <c r="R62" s="34">
        <v>41878</v>
      </c>
      <c r="S62" s="34">
        <v>22744</v>
      </c>
      <c r="T62" s="35" t="s">
        <v>437</v>
      </c>
      <c r="U62" s="26"/>
      <c r="V62" s="26" t="s">
        <v>2774</v>
      </c>
      <c r="W62" s="26">
        <v>21</v>
      </c>
      <c r="X62" s="26"/>
      <c r="Y62" s="26" t="s">
        <v>439</v>
      </c>
      <c r="Z62" s="26">
        <v>90260</v>
      </c>
      <c r="AA62" s="26" t="s">
        <v>440</v>
      </c>
      <c r="AB62" s="26" t="s">
        <v>441</v>
      </c>
      <c r="AC62" s="34">
        <v>43471</v>
      </c>
      <c r="AD62" s="26">
        <v>110.59</v>
      </c>
      <c r="AE62" s="26">
        <v>115.74</v>
      </c>
      <c r="AG62" s="22" t="str">
        <f t="shared" si="1"/>
        <v>EXECUTE [dbo].[PG_CI_OPERADOR] 0, 0, 0, 393, 'MUÃ‘OZ HERNANDEZ, ALBERTO ' , '' , 20 , 2 , 2, 2,'ALBERTO ', 'MUÃ‘OZ', 'HERNANDEZ' , 'MUHA620408', 'MUHA620408HTLXRL02', '1906204035', 08-27-2014, '04-08-1962','01241 49640 78','','20 DE NOVIEMBRE','21','','LAGUNILLA','90260','TLAXCO','TLAX001473    B-E','01-06-2019', 110.59,'115.74''</v>
      </c>
      <c r="AH62" s="11"/>
    </row>
    <row r="63" spans="1:34" s="10" customFormat="1" x14ac:dyDescent="0.25">
      <c r="A63" s="18"/>
      <c r="B63" s="19">
        <v>0</v>
      </c>
      <c r="C63" s="19">
        <v>0</v>
      </c>
      <c r="D63" s="19">
        <v>0</v>
      </c>
      <c r="E63" s="28">
        <v>394</v>
      </c>
      <c r="F63" s="20" t="str">
        <f t="shared" si="0"/>
        <v>NAVARRO MORA, SERGIO ALEJANDRO</v>
      </c>
      <c r="G63" s="21"/>
      <c r="H63" s="28">
        <v>20</v>
      </c>
      <c r="I63" s="28">
        <v>1</v>
      </c>
      <c r="J63" s="28">
        <v>3</v>
      </c>
      <c r="K63" s="28">
        <v>2</v>
      </c>
      <c r="L63" s="26" t="s">
        <v>2170</v>
      </c>
      <c r="M63" s="26" t="s">
        <v>1770</v>
      </c>
      <c r="N63" s="26" t="s">
        <v>1827</v>
      </c>
      <c r="O63" s="26" t="s">
        <v>2368</v>
      </c>
      <c r="P63" s="26" t="s">
        <v>443</v>
      </c>
      <c r="Q63" s="26">
        <v>6796278353</v>
      </c>
      <c r="R63" s="34">
        <v>41845</v>
      </c>
      <c r="S63" s="34">
        <v>23299</v>
      </c>
      <c r="T63" s="35" t="s">
        <v>444</v>
      </c>
      <c r="U63" s="26"/>
      <c r="V63" s="26" t="s">
        <v>2495</v>
      </c>
      <c r="W63" s="26">
        <v>24</v>
      </c>
      <c r="X63" s="26"/>
      <c r="Y63" s="26" t="s">
        <v>446</v>
      </c>
      <c r="Z63" s="26">
        <v>55600</v>
      </c>
      <c r="AA63" s="26" t="s">
        <v>87</v>
      </c>
      <c r="AB63" s="26" t="s">
        <v>447</v>
      </c>
      <c r="AC63" s="34">
        <v>43285</v>
      </c>
      <c r="AD63" s="26">
        <v>125.74</v>
      </c>
      <c r="AE63" s="26">
        <v>147.87</v>
      </c>
      <c r="AG63" s="22" t="str">
        <f t="shared" si="1"/>
        <v>EXECUTE [dbo].[PG_CI_OPERADOR] 0, 0, 0, 394, 'NAVARRO MORA, SERGIO ALEJANDRO' , '' , 20 , 1 , 3, 2,'SERGIO ALEJANDRO', 'NAVARRO', 'MORA' , 'NAMS631015V41', 'NAMS631015HDFVRR06', '6796278353', 07-25-2014, '10-15-1963','55 4020 6710','','AILE','24','','U. HAB. ARBOLADA LOS SAUCES','55600','ZUMPANGO','DF00215913    E','07-04-2018', 125.74,'147.87''</v>
      </c>
      <c r="AH63" s="11"/>
    </row>
    <row r="64" spans="1:34" s="10" customFormat="1" x14ac:dyDescent="0.25">
      <c r="A64" s="18"/>
      <c r="B64" s="19">
        <v>0</v>
      </c>
      <c r="C64" s="19">
        <v>0</v>
      </c>
      <c r="D64" s="19">
        <v>0</v>
      </c>
      <c r="E64" s="28">
        <v>395</v>
      </c>
      <c r="F64" s="20" t="str">
        <f t="shared" si="0"/>
        <v xml:space="preserve">NIETO GONZALEZ, VICENTE </v>
      </c>
      <c r="G64" s="21"/>
      <c r="H64" s="28">
        <v>20</v>
      </c>
      <c r="I64" s="28">
        <v>1</v>
      </c>
      <c r="J64" s="28">
        <v>0</v>
      </c>
      <c r="K64" s="28">
        <v>2</v>
      </c>
      <c r="L64" s="26" t="s">
        <v>2171</v>
      </c>
      <c r="M64" s="26" t="s">
        <v>1828</v>
      </c>
      <c r="N64" s="26" t="s">
        <v>1767</v>
      </c>
      <c r="O64" s="26" t="s">
        <v>2369</v>
      </c>
      <c r="P64" s="26" t="s">
        <v>449</v>
      </c>
      <c r="Q64" s="26">
        <v>15826415679</v>
      </c>
      <c r="R64" s="34">
        <v>38167</v>
      </c>
      <c r="S64" s="34">
        <v>23448</v>
      </c>
      <c r="T64" s="35"/>
      <c r="U64" s="26"/>
      <c r="V64" s="26" t="s">
        <v>2775</v>
      </c>
      <c r="W64" s="26">
        <v>94</v>
      </c>
      <c r="X64" s="26"/>
      <c r="Y64" s="26" t="s">
        <v>451</v>
      </c>
      <c r="Z64" s="26">
        <v>62010</v>
      </c>
      <c r="AA64" s="26" t="s">
        <v>452</v>
      </c>
      <c r="AB64" s="26" t="s">
        <v>453</v>
      </c>
      <c r="AC64" s="34">
        <v>43471</v>
      </c>
      <c r="AD64" s="26">
        <v>110.59</v>
      </c>
      <c r="AE64" s="26">
        <v>116.19</v>
      </c>
      <c r="AG64" s="22" t="str">
        <f t="shared" si="1"/>
        <v>EXECUTE [dbo].[PG_CI_OPERADOR] 0, 0, 0, 395, 'NIETO GONZALEZ, VICENTE ' , '' , 20 , 1 , 0, 2,'VICENTE ', 'NIETO', 'GONZALEZ' , 'NIGV6403127H5', 'NIGV640312HMCTNC07', '15826415679', 06-29-2004, '03-12-1964','','','ESTADO DE MORELOS','94','','LA PROVINCIANA','62010','CUERNAVACA','MOR0000446   B-E','01-06-2019', 110.59,'116.19''</v>
      </c>
      <c r="AH64" s="11"/>
    </row>
    <row r="65" spans="1:34" s="10" customFormat="1" x14ac:dyDescent="0.25">
      <c r="A65" s="18"/>
      <c r="B65" s="19">
        <v>0</v>
      </c>
      <c r="C65" s="19">
        <v>0</v>
      </c>
      <c r="D65" s="19">
        <v>0</v>
      </c>
      <c r="E65" s="28">
        <v>396</v>
      </c>
      <c r="F65" s="20" t="str">
        <f t="shared" si="0"/>
        <v>OLEA GUTIERREZ, JESUS EDEM</v>
      </c>
      <c r="G65" s="21"/>
      <c r="H65" s="28">
        <v>17</v>
      </c>
      <c r="I65" s="28">
        <v>1</v>
      </c>
      <c r="J65" s="28">
        <v>2</v>
      </c>
      <c r="K65" s="28">
        <v>2</v>
      </c>
      <c r="L65" s="26" t="s">
        <v>2172</v>
      </c>
      <c r="M65" s="26" t="s">
        <v>1830</v>
      </c>
      <c r="N65" s="26" t="s">
        <v>1783</v>
      </c>
      <c r="O65" s="26" t="s">
        <v>2370</v>
      </c>
      <c r="P65" s="26" t="s">
        <v>455</v>
      </c>
      <c r="Q65" s="26">
        <v>15998119950</v>
      </c>
      <c r="R65" s="34">
        <v>42349</v>
      </c>
      <c r="S65" s="34">
        <v>29763</v>
      </c>
      <c r="T65" s="35">
        <v>6643517450</v>
      </c>
      <c r="U65" s="26"/>
      <c r="V65" s="26" t="s">
        <v>2776</v>
      </c>
      <c r="W65" s="26">
        <v>7205</v>
      </c>
      <c r="X65" s="26"/>
      <c r="Y65" s="26" t="s">
        <v>457</v>
      </c>
      <c r="Z65" s="26">
        <v>22480</v>
      </c>
      <c r="AA65" s="26" t="s">
        <v>180</v>
      </c>
      <c r="AB65" s="26" t="s">
        <v>458</v>
      </c>
      <c r="AC65" s="34">
        <v>42475</v>
      </c>
      <c r="AD65" s="26">
        <v>110.59</v>
      </c>
      <c r="AE65" s="26">
        <v>115.59</v>
      </c>
      <c r="AG65" s="22" t="str">
        <f t="shared" si="1"/>
        <v>EXECUTE [dbo].[PG_CI_OPERADOR] 0, 0, 0, 396, 'OLEA GUTIERREZ, JESUS EDEM' , '' , 17 , 1 , 2, 2,'JESUS EDEM', 'OLEA', 'GUTIERREZ' , 'OEGJ810626A49', 'OEGJ810626HMSLTS00', '15998119950', 12-11-2015, '06-26-1981','6643517450','','PRIVADA MARSELLA','7205','','RESIDENCIAL AGUA CALIENTE','22480','TIJUANA','MOR0009673','04-15-2016', 110.59,'115.59''</v>
      </c>
      <c r="AH65" s="11"/>
    </row>
    <row r="66" spans="1:34" s="10" customFormat="1" x14ac:dyDescent="0.25">
      <c r="A66" s="18"/>
      <c r="B66" s="19">
        <v>0</v>
      </c>
      <c r="C66" s="19">
        <v>0</v>
      </c>
      <c r="D66" s="19">
        <v>0</v>
      </c>
      <c r="E66" s="28">
        <v>397</v>
      </c>
      <c r="F66" s="20" t="str">
        <f t="shared" si="0"/>
        <v>ORTEGA GONZALEZ, RAUL FERNANDO</v>
      </c>
      <c r="G66" s="21"/>
      <c r="H66" s="28">
        <v>19</v>
      </c>
      <c r="I66" s="28">
        <v>1</v>
      </c>
      <c r="J66" s="28">
        <v>2</v>
      </c>
      <c r="K66" s="28">
        <v>2</v>
      </c>
      <c r="L66" s="26" t="s">
        <v>2173</v>
      </c>
      <c r="M66" s="26" t="s">
        <v>1832</v>
      </c>
      <c r="N66" s="26" t="s">
        <v>1767</v>
      </c>
      <c r="O66" s="26" t="s">
        <v>2371</v>
      </c>
      <c r="P66" s="26" t="s">
        <v>460</v>
      </c>
      <c r="Q66" s="26">
        <v>33846535699</v>
      </c>
      <c r="R66" s="34">
        <v>40903</v>
      </c>
      <c r="S66" s="34">
        <v>24469</v>
      </c>
      <c r="T66" s="35" t="s">
        <v>461</v>
      </c>
      <c r="U66" s="26"/>
      <c r="V66" s="26" t="s">
        <v>2496</v>
      </c>
      <c r="W66" s="26">
        <v>7638</v>
      </c>
      <c r="X66" s="26"/>
      <c r="Y66" s="26" t="s">
        <v>463</v>
      </c>
      <c r="Z66" s="26">
        <v>32694</v>
      </c>
      <c r="AA66" s="26" t="s">
        <v>277</v>
      </c>
      <c r="AB66" s="26" t="s">
        <v>464</v>
      </c>
      <c r="AC66" s="34">
        <v>41420</v>
      </c>
      <c r="AD66" s="26">
        <v>110.59</v>
      </c>
      <c r="AE66" s="26">
        <v>116.07</v>
      </c>
      <c r="AG66" s="22" t="str">
        <f t="shared" si="1"/>
        <v>EXECUTE [dbo].[PG_CI_OPERADOR] 0, 0, 0, 397, 'ORTEGA GONZALEZ, RAUL FERNANDO' , '' , 19 , 1 , 2, 2,'RAUL FERNANDO', 'ORTEGA', 'GONZALEZ' , 'OEGR661218DP1', 'OEGR661218HCHRNL01', '33846535699', 12-26-2011, '12-28-1966','656 2452969','','NAMBIA','7638','','CAMPESTRE VIRREYES','32694','JUAREZ','CHIH201787    B-E','05-26-2013', 110.59,'116.07''</v>
      </c>
      <c r="AH66" s="11"/>
    </row>
    <row r="67" spans="1:34" s="10" customFormat="1" x14ac:dyDescent="0.25">
      <c r="A67" s="18"/>
      <c r="B67" s="19">
        <v>0</v>
      </c>
      <c r="C67" s="19">
        <v>0</v>
      </c>
      <c r="D67" s="19">
        <v>0</v>
      </c>
      <c r="E67" s="28">
        <v>398</v>
      </c>
      <c r="F67" s="20" t="str">
        <f t="shared" si="0"/>
        <v xml:space="preserve">ORTIZ TRIGUEROS, IGNACIO </v>
      </c>
      <c r="G67" s="21"/>
      <c r="H67" s="28">
        <v>20</v>
      </c>
      <c r="I67" s="28">
        <v>1</v>
      </c>
      <c r="J67" s="28">
        <v>2</v>
      </c>
      <c r="K67" s="28">
        <v>2</v>
      </c>
      <c r="L67" s="26" t="s">
        <v>2127</v>
      </c>
      <c r="M67" s="26" t="s">
        <v>1834</v>
      </c>
      <c r="N67" s="26" t="s">
        <v>1835</v>
      </c>
      <c r="O67" s="26" t="s">
        <v>2372</v>
      </c>
      <c r="P67" s="26" t="s">
        <v>466</v>
      </c>
      <c r="Q67" s="26">
        <v>75836409468</v>
      </c>
      <c r="R67" s="34">
        <v>41899</v>
      </c>
      <c r="S67" s="34">
        <v>23566</v>
      </c>
      <c r="T67" s="35" t="s">
        <v>467</v>
      </c>
      <c r="U67" s="26"/>
      <c r="V67" s="26" t="s">
        <v>2777</v>
      </c>
      <c r="W67" s="26" t="s">
        <v>2498</v>
      </c>
      <c r="X67" s="26" t="s">
        <v>2499</v>
      </c>
      <c r="Y67" s="26" t="s">
        <v>469</v>
      </c>
      <c r="Z67" s="26">
        <v>7140</v>
      </c>
      <c r="AA67" s="26" t="s">
        <v>470</v>
      </c>
      <c r="AB67" s="26"/>
      <c r="AC67" s="34">
        <v>42684</v>
      </c>
      <c r="AD67" s="26">
        <v>110.59</v>
      </c>
      <c r="AE67" s="26">
        <v>115.74</v>
      </c>
      <c r="AG67" s="22" t="str">
        <f t="shared" si="1"/>
        <v>EXECUTE [dbo].[PG_CI_OPERADOR] 0, 0, 0, 398, 'ORTIZ TRIGUEROS, IGNACIO ' , '' , 20 , 1 , 2, 2,'IGNACIO ', 'ORTIZ', 'TRIGUEROS' , 'OITI640708CL9', 'OITI640708HDFRRG02', '75836409468', 09-17-2014, '07-08-1964','5306 1454','','2a. CDA. DE JACARANDAS','MZ-4','LT-2','FORESTAL LAURELES','7140','GUSTAVO A. MADERO','','11-10-2016', 110.59,'115.74''</v>
      </c>
      <c r="AH67" s="11"/>
    </row>
    <row r="68" spans="1:34" s="10" customFormat="1" x14ac:dyDescent="0.25">
      <c r="A68" s="18"/>
      <c r="B68" s="19">
        <v>0</v>
      </c>
      <c r="C68" s="19">
        <v>0</v>
      </c>
      <c r="D68" s="19">
        <v>0</v>
      </c>
      <c r="E68" s="28">
        <v>400</v>
      </c>
      <c r="F68" s="20" t="str">
        <f t="shared" ref="F68:F131" si="2">CONCATENATE(M68," ",N68,", ",L68)</f>
        <v xml:space="preserve">PARRA MIRAMONTES, GUADALUPE </v>
      </c>
      <c r="G68" s="21"/>
      <c r="H68" s="28">
        <v>19</v>
      </c>
      <c r="I68" s="28">
        <v>1</v>
      </c>
      <c r="J68" s="28">
        <v>0</v>
      </c>
      <c r="K68" s="28">
        <v>2</v>
      </c>
      <c r="L68" s="26" t="s">
        <v>2174</v>
      </c>
      <c r="M68" s="26" t="s">
        <v>1836</v>
      </c>
      <c r="N68" s="26" t="s">
        <v>1837</v>
      </c>
      <c r="O68" s="26" t="s">
        <v>2373</v>
      </c>
      <c r="P68" s="26" t="s">
        <v>473</v>
      </c>
      <c r="Q68" s="26">
        <v>33816275227</v>
      </c>
      <c r="R68" s="34">
        <v>40725</v>
      </c>
      <c r="S68" s="34">
        <v>22888</v>
      </c>
      <c r="T68" s="35" t="s">
        <v>474</v>
      </c>
      <c r="U68" s="26"/>
      <c r="V68" s="26" t="s">
        <v>2781</v>
      </c>
      <c r="W68" s="26">
        <v>5596</v>
      </c>
      <c r="X68" s="26"/>
      <c r="Y68" s="26" t="s">
        <v>476</v>
      </c>
      <c r="Z68" s="26">
        <v>32698</v>
      </c>
      <c r="AA68" s="26" t="s">
        <v>117</v>
      </c>
      <c r="AB68" s="26"/>
      <c r="AC68" s="34">
        <v>42684</v>
      </c>
      <c r="AD68" s="26">
        <v>110.59</v>
      </c>
      <c r="AE68" s="26">
        <v>116.19</v>
      </c>
      <c r="AG68" s="22" t="str">
        <f t="shared" ref="AG68:AG131" si="3">CONCATENATE($AJ$1,E68,", '",F68,"' , '",G68,"' , ",H68," , ",I68," , ",J68,", ",K68,",'",L68,"', '",M68,"', '",N68,"' , '",O68,"', '",P68,"', '",Q68,"', ",TEXT(R68,"mm-dd-aaaa"),", '",TEXT(S68,"mm-dd-aaaa"),"','", T68,"','",U68,"','",V68,"','",W68,"','",X68,"','",Y68,"','",Z68,"','",AA68,"','",AB68,"','",TEXT(AC68,"mm-dd-aaaa"),"', ",AD68,",'",AE68,"''")</f>
        <v>EXECUTE [dbo].[PG_CI_OPERADOR] 0, 0, 0, 400, 'PARRA MIRAMONTES, GUADALUPE ' , '' , 19 , 1 , 0, 2,'GUADALUPE ', 'PARRA', 'MIRAMONTES' , 'PAMG620830HCA', 'PAMG620830HCHRRD09', '33816275227', 07-01-2011, '08-30-1962','656 161 7980','','PINGÜICA','5596','','INF. AMPLIACION AUROPUERTO','32698','CD. JUAREZ','','11-10-2016', 110.59,'116.19''</v>
      </c>
      <c r="AH68" s="11"/>
    </row>
    <row r="69" spans="1:34" s="10" customFormat="1" x14ac:dyDescent="0.25">
      <c r="A69" s="18"/>
      <c r="B69" s="19">
        <v>0</v>
      </c>
      <c r="C69" s="19">
        <v>0</v>
      </c>
      <c r="D69" s="19">
        <v>0</v>
      </c>
      <c r="E69" s="28">
        <v>401</v>
      </c>
      <c r="F69" s="20" t="str">
        <f t="shared" si="2"/>
        <v>PEREZ MENDEZ, JOSE GUADALUPE</v>
      </c>
      <c r="G69" s="21"/>
      <c r="H69" s="28">
        <v>19</v>
      </c>
      <c r="I69" s="28">
        <v>1</v>
      </c>
      <c r="J69" s="28">
        <v>0</v>
      </c>
      <c r="K69" s="28">
        <v>2</v>
      </c>
      <c r="L69" s="26" t="s">
        <v>2175</v>
      </c>
      <c r="M69" s="26" t="s">
        <v>1838</v>
      </c>
      <c r="N69" s="26" t="s">
        <v>1839</v>
      </c>
      <c r="O69" s="26" t="s">
        <v>2374</v>
      </c>
      <c r="P69" s="26" t="s">
        <v>478</v>
      </c>
      <c r="Q69" s="26">
        <v>33816440821</v>
      </c>
      <c r="R69" s="34">
        <v>34710</v>
      </c>
      <c r="S69" s="34">
        <v>23142</v>
      </c>
      <c r="T69" s="35"/>
      <c r="U69" s="26"/>
      <c r="V69" s="26" t="s">
        <v>2500</v>
      </c>
      <c r="W69" s="26">
        <v>6218</v>
      </c>
      <c r="X69" s="26"/>
      <c r="Y69" s="26" t="s">
        <v>480</v>
      </c>
      <c r="Z69" s="26">
        <v>32690</v>
      </c>
      <c r="AA69" s="26" t="s">
        <v>117</v>
      </c>
      <c r="AB69" s="26"/>
      <c r="AC69" s="34">
        <v>42684</v>
      </c>
      <c r="AD69" s="26">
        <v>110.59</v>
      </c>
      <c r="AE69" s="26">
        <v>116.5</v>
      </c>
      <c r="AG69" s="22" t="str">
        <f t="shared" si="3"/>
        <v>EXECUTE [dbo].[PG_CI_OPERADOR] 0, 0, 0, 401, 'PEREZ MENDEZ, JOSE GUADALUPE' , '' , 19 , 1 , 0, 2,'JOSE GUADALUPE', 'PEREZ', 'MENDEZ' , 'PEMG630511', 'PEMG630511HCHRND02', '33816440821', 01-11-1995, '05-11-1963','','','SAUCILLO','6218','','NUEVO HIPODROMO','32690','CD. JUAREZ','','11-10-2016', 110.59,'116.5''</v>
      </c>
      <c r="AH69" s="11"/>
    </row>
    <row r="70" spans="1:34" s="10" customFormat="1" x14ac:dyDescent="0.25">
      <c r="A70" s="18"/>
      <c r="B70" s="19">
        <v>0</v>
      </c>
      <c r="C70" s="19">
        <v>0</v>
      </c>
      <c r="D70" s="19">
        <v>0</v>
      </c>
      <c r="E70" s="28">
        <v>402</v>
      </c>
      <c r="F70" s="20" t="str">
        <f t="shared" si="2"/>
        <v xml:space="preserve">QUINTANA ESCOBAR, PEDRO </v>
      </c>
      <c r="G70" s="21"/>
      <c r="H70" s="28">
        <v>20</v>
      </c>
      <c r="I70" s="28">
        <v>1</v>
      </c>
      <c r="J70" s="28">
        <v>0</v>
      </c>
      <c r="K70" s="28">
        <v>2</v>
      </c>
      <c r="L70" s="26" t="s">
        <v>2176</v>
      </c>
      <c r="M70" s="26" t="s">
        <v>1806</v>
      </c>
      <c r="N70" s="26" t="s">
        <v>1840</v>
      </c>
      <c r="O70" s="26" t="s">
        <v>2375</v>
      </c>
      <c r="P70" s="26" t="s">
        <v>482</v>
      </c>
      <c r="Q70" s="26">
        <v>67018106095</v>
      </c>
      <c r="R70" s="34">
        <v>39981</v>
      </c>
      <c r="S70" s="34">
        <v>29906</v>
      </c>
      <c r="T70" s="35">
        <v>44551012559</v>
      </c>
      <c r="U70" s="26"/>
      <c r="V70" s="26" t="s">
        <v>2778</v>
      </c>
      <c r="W70" s="26">
        <v>19</v>
      </c>
      <c r="X70" s="26"/>
      <c r="Y70" s="26" t="s">
        <v>484</v>
      </c>
      <c r="Z70" s="26">
        <v>56240</v>
      </c>
      <c r="AA70" s="26" t="s">
        <v>373</v>
      </c>
      <c r="AB70" s="26"/>
      <c r="AC70" s="34">
        <v>42684</v>
      </c>
      <c r="AD70" s="26">
        <v>110.59</v>
      </c>
      <c r="AE70" s="26">
        <v>116.19</v>
      </c>
      <c r="AG70" s="22" t="str">
        <f t="shared" si="3"/>
        <v>EXECUTE [dbo].[PG_CI_OPERADOR] 0, 0, 0, 402, 'QUINTANA ESCOBAR, PEDRO ' , '' , 20 , 1 , 0, 2,'PEDRO ', 'QUINTANA', 'ESCOBAR' , 'QUEP811116NA5', 'QUEP811116HMCNSD09', '67018106095', 06-17-2009, '11-16-1981','44551012559','','BENITO JUAREZ','19','','SAN JOAQUIN COAPANGO','56240','TEXCOCO','','11-10-2016', 110.59,'116.19''</v>
      </c>
      <c r="AH70" s="11"/>
    </row>
    <row r="71" spans="1:34" s="10" customFormat="1" x14ac:dyDescent="0.25">
      <c r="A71" s="18"/>
      <c r="B71" s="19">
        <v>0</v>
      </c>
      <c r="C71" s="19">
        <v>0</v>
      </c>
      <c r="D71" s="19">
        <v>0</v>
      </c>
      <c r="E71" s="28">
        <v>403</v>
      </c>
      <c r="F71" s="20" t="str">
        <f t="shared" si="2"/>
        <v>RAMIREZ QUINTANA, JOSE IVAN</v>
      </c>
      <c r="G71" s="21"/>
      <c r="H71" s="28">
        <v>20</v>
      </c>
      <c r="I71" s="28">
        <v>1</v>
      </c>
      <c r="J71" s="28">
        <v>2</v>
      </c>
      <c r="K71" s="28">
        <v>2</v>
      </c>
      <c r="L71" s="26" t="s">
        <v>2177</v>
      </c>
      <c r="M71" s="26" t="s">
        <v>1724</v>
      </c>
      <c r="N71" s="26" t="s">
        <v>1806</v>
      </c>
      <c r="O71" s="26" t="s">
        <v>2376</v>
      </c>
      <c r="P71" s="26" t="s">
        <v>486</v>
      </c>
      <c r="Q71" s="26">
        <v>96018107019</v>
      </c>
      <c r="R71" s="34">
        <v>42238</v>
      </c>
      <c r="S71" s="34">
        <v>29850</v>
      </c>
      <c r="T71" s="35" t="s">
        <v>487</v>
      </c>
      <c r="U71" s="26"/>
      <c r="V71" s="26" t="s">
        <v>230</v>
      </c>
      <c r="W71" s="26">
        <v>16</v>
      </c>
      <c r="X71" s="26"/>
      <c r="Y71" s="26" t="s">
        <v>489</v>
      </c>
      <c r="Z71" s="26">
        <v>56243</v>
      </c>
      <c r="AA71" s="26" t="s">
        <v>373</v>
      </c>
      <c r="AB71" s="26"/>
      <c r="AC71" s="34">
        <v>42684</v>
      </c>
      <c r="AD71" s="26">
        <v>110.59</v>
      </c>
      <c r="AE71" s="26">
        <v>115.59</v>
      </c>
      <c r="AG71" s="22" t="str">
        <f t="shared" si="3"/>
        <v>EXECUTE [dbo].[PG_CI_OPERADOR] 0, 0, 0, 403, 'RAMIREZ QUINTANA, JOSE IVAN' , '' , 20 , 1 , 2, 2,'JOSE IVAN', 'RAMIREZ', 'QUINTANA' , 'RAQI810921', 'RAQI810921HDFMNV06', '96018107019', 08-22-2015, '09-21-1981','01595 232052','','MORELOS','16','','SAN JOAQUIN','56243','TEXCOCO','','11-10-2016', 110.59,'115.59''</v>
      </c>
      <c r="AH71" s="11"/>
    </row>
    <row r="72" spans="1:34" s="10" customFormat="1" x14ac:dyDescent="0.25">
      <c r="A72" s="18"/>
      <c r="B72" s="19">
        <v>0</v>
      </c>
      <c r="C72" s="19">
        <v>0</v>
      </c>
      <c r="D72" s="19">
        <v>0</v>
      </c>
      <c r="E72" s="28">
        <v>404</v>
      </c>
      <c r="F72" s="20" t="str">
        <f t="shared" si="2"/>
        <v xml:space="preserve">RICOY VERA, ALVARO </v>
      </c>
      <c r="G72" s="21"/>
      <c r="H72" s="28">
        <v>20</v>
      </c>
      <c r="I72" s="28">
        <v>1</v>
      </c>
      <c r="J72" s="28">
        <v>2</v>
      </c>
      <c r="K72" s="28">
        <v>2</v>
      </c>
      <c r="L72" s="26" t="s">
        <v>2178</v>
      </c>
      <c r="M72" s="26" t="s">
        <v>1843</v>
      </c>
      <c r="N72" s="26" t="s">
        <v>1844</v>
      </c>
      <c r="O72" s="26" t="s">
        <v>2377</v>
      </c>
      <c r="P72" s="26" t="s">
        <v>491</v>
      </c>
      <c r="Q72" s="26">
        <v>32886917957</v>
      </c>
      <c r="R72" s="34">
        <v>41894</v>
      </c>
      <c r="S72" s="34">
        <v>25365</v>
      </c>
      <c r="T72" s="35" t="s">
        <v>492</v>
      </c>
      <c r="U72" s="26"/>
      <c r="V72" s="26" t="s">
        <v>2779</v>
      </c>
      <c r="W72" s="26">
        <v>29</v>
      </c>
      <c r="X72" s="26"/>
      <c r="Y72" s="26" t="s">
        <v>494</v>
      </c>
      <c r="Z72" s="26">
        <v>54190</v>
      </c>
      <c r="AA72" s="26" t="s">
        <v>125</v>
      </c>
      <c r="AB72" s="26"/>
      <c r="AC72" s="34">
        <v>42684</v>
      </c>
      <c r="AD72" s="26">
        <v>110.59</v>
      </c>
      <c r="AE72" s="26">
        <v>115.74</v>
      </c>
      <c r="AG72" s="22" t="str">
        <f t="shared" si="3"/>
        <v>EXECUTE [dbo].[PG_CI_OPERADOR] 0, 0, 0, 404, 'RICOY VERA, ALVARO ' , '' , 20 , 1 , 2, 2,'ALVARO ', 'RICOY', 'VERA' , 'RIVA6906117AA', 'RIVA690611HOCCRL04', '32886917957', 09-12-2014, '06-11-1969','8283-2552','','AV. NECAXA','29','','COL. DIVISION DEL NORTE','54190','TLALNEPANTLA','','11-10-2016', 110.59,'115.74''</v>
      </c>
      <c r="AH72" s="11"/>
    </row>
    <row r="73" spans="1:34" s="10" customFormat="1" x14ac:dyDescent="0.25">
      <c r="A73" s="18"/>
      <c r="B73" s="19">
        <v>0</v>
      </c>
      <c r="C73" s="19">
        <v>0</v>
      </c>
      <c r="D73" s="19">
        <v>0</v>
      </c>
      <c r="E73" s="28">
        <v>405</v>
      </c>
      <c r="F73" s="20" t="str">
        <f t="shared" si="2"/>
        <v xml:space="preserve">RIOS MONTALVO, GABRIEL </v>
      </c>
      <c r="G73" s="21"/>
      <c r="H73" s="28">
        <v>20</v>
      </c>
      <c r="I73" s="28">
        <v>1</v>
      </c>
      <c r="J73" s="28">
        <v>0</v>
      </c>
      <c r="K73" s="28">
        <v>2</v>
      </c>
      <c r="L73" s="26" t="s">
        <v>2179</v>
      </c>
      <c r="M73" s="26" t="s">
        <v>1846</v>
      </c>
      <c r="N73" s="26" t="s">
        <v>1847</v>
      </c>
      <c r="O73" s="26" t="s">
        <v>2378</v>
      </c>
      <c r="P73" s="26" t="s">
        <v>496</v>
      </c>
      <c r="Q73" s="26">
        <v>75048679601</v>
      </c>
      <c r="R73" s="34">
        <v>40471</v>
      </c>
      <c r="S73" s="34">
        <v>31641</v>
      </c>
      <c r="T73" s="35" t="s">
        <v>497</v>
      </c>
      <c r="U73" s="26"/>
      <c r="V73" s="26" t="s">
        <v>2780</v>
      </c>
      <c r="W73" s="26">
        <v>53</v>
      </c>
      <c r="X73" s="26"/>
      <c r="Y73" s="26" t="s">
        <v>499</v>
      </c>
      <c r="Z73" s="26">
        <v>45019</v>
      </c>
      <c r="AA73" s="26" t="s">
        <v>500</v>
      </c>
      <c r="AB73" s="26"/>
      <c r="AC73" s="34">
        <v>42684</v>
      </c>
      <c r="AD73" s="26">
        <v>110.59</v>
      </c>
      <c r="AE73" s="26">
        <v>116.19</v>
      </c>
      <c r="AG73" s="22" t="str">
        <f t="shared" si="3"/>
        <v>EXECUTE [dbo].[PG_CI_OPERADOR] 0, 0, 0, 405, 'RIOS MONTALVO, GABRIEL ' , '' , 20 , 1 , 0, 2,'GABRIEL ', 'RIOS', 'MONTALVO' , 'RIMG860817NX0', 'RIMG860817HJCSNB06', '75048679601', 10-20-2010, '08-17-1986','14911315   04433 14021208','','VICTORIANO NUÑEZ','53','','VICTOR HUGO','45019','GUADALAJARA','','11-10-2016', 110.59,'116.19''</v>
      </c>
      <c r="AH73" s="11"/>
    </row>
    <row r="74" spans="1:34" s="10" customFormat="1" x14ac:dyDescent="0.25">
      <c r="A74" s="18"/>
      <c r="B74" s="19">
        <v>0</v>
      </c>
      <c r="C74" s="19">
        <v>0</v>
      </c>
      <c r="D74" s="19">
        <v>0</v>
      </c>
      <c r="E74" s="28">
        <v>406</v>
      </c>
      <c r="F74" s="20" t="str">
        <f t="shared" si="2"/>
        <v xml:space="preserve">RIOS SALINAS, RAUL </v>
      </c>
      <c r="G74" s="21"/>
      <c r="H74" s="28">
        <v>17</v>
      </c>
      <c r="I74" s="28">
        <v>1</v>
      </c>
      <c r="J74" s="28">
        <v>0</v>
      </c>
      <c r="K74" s="28">
        <v>2</v>
      </c>
      <c r="L74" s="26" t="s">
        <v>2180</v>
      </c>
      <c r="M74" s="26" t="s">
        <v>1846</v>
      </c>
      <c r="N74" s="26" t="s">
        <v>1848</v>
      </c>
      <c r="O74" s="26" t="s">
        <v>2379</v>
      </c>
      <c r="P74" s="26" t="s">
        <v>502</v>
      </c>
      <c r="Q74" s="26">
        <v>33764502820</v>
      </c>
      <c r="R74" s="34">
        <v>36179</v>
      </c>
      <c r="S74" s="34">
        <v>16486</v>
      </c>
      <c r="T74" s="35"/>
      <c r="U74" s="26"/>
      <c r="V74" s="26" t="s">
        <v>503</v>
      </c>
      <c r="W74" s="26">
        <v>24</v>
      </c>
      <c r="X74" s="26"/>
      <c r="Y74" s="26" t="s">
        <v>504</v>
      </c>
      <c r="Z74" s="26">
        <v>84259</v>
      </c>
      <c r="AA74" s="26" t="s">
        <v>505</v>
      </c>
      <c r="AB74" s="26"/>
      <c r="AC74" s="34">
        <v>42684</v>
      </c>
      <c r="AD74" s="26">
        <v>110.59</v>
      </c>
      <c r="AE74" s="26">
        <v>116.5</v>
      </c>
      <c r="AG74" s="22" t="str">
        <f t="shared" si="3"/>
        <v>EXECUTE [dbo].[PG_CI_OPERADOR] 0, 0, 0, 406, 'RIOS SALINAS, RAUL ' , '' , 17 , 1 , 0, 2,'RAUL ', 'RIOS', 'SALINAS' , 'RISR450218LAA', 'RISR450218HCHSLL07', '33764502820', 01-19-1999, '02-18-1945','','','AV. INDUSTRIAL No. 24','24','','EJIDAL','84259','AGUA PRIETA','','11-10-2016', 110.59,'116.5''</v>
      </c>
      <c r="AH74" s="11"/>
    </row>
    <row r="75" spans="1:34" s="10" customFormat="1" x14ac:dyDescent="0.25">
      <c r="A75" s="18"/>
      <c r="B75" s="19">
        <v>0</v>
      </c>
      <c r="C75" s="19">
        <v>0</v>
      </c>
      <c r="D75" s="19">
        <v>0</v>
      </c>
      <c r="E75" s="28">
        <v>407</v>
      </c>
      <c r="F75" s="20" t="str">
        <f t="shared" si="2"/>
        <v xml:space="preserve">RIVERA LOPEZ, JUAN </v>
      </c>
      <c r="G75" s="21"/>
      <c r="H75" s="28">
        <v>20</v>
      </c>
      <c r="I75" s="28">
        <v>1</v>
      </c>
      <c r="J75" s="28">
        <v>0</v>
      </c>
      <c r="K75" s="28">
        <v>2</v>
      </c>
      <c r="L75" s="26" t="s">
        <v>2132</v>
      </c>
      <c r="M75" s="26" t="s">
        <v>1849</v>
      </c>
      <c r="N75" s="26" t="s">
        <v>1850</v>
      </c>
      <c r="O75" s="26" t="s">
        <v>2380</v>
      </c>
      <c r="P75" s="26" t="s">
        <v>507</v>
      </c>
      <c r="Q75" s="26">
        <v>61896202803</v>
      </c>
      <c r="R75" s="34">
        <v>38006</v>
      </c>
      <c r="S75" s="34">
        <v>22774</v>
      </c>
      <c r="T75" s="35"/>
      <c r="U75" s="26"/>
      <c r="V75" s="26" t="s">
        <v>2782</v>
      </c>
      <c r="W75" s="26">
        <v>11</v>
      </c>
      <c r="X75" s="26"/>
      <c r="Y75" s="26" t="s">
        <v>509</v>
      </c>
      <c r="Z75" s="26">
        <v>39350</v>
      </c>
      <c r="AA75" s="26" t="s">
        <v>192</v>
      </c>
      <c r="AB75" s="26" t="s">
        <v>510</v>
      </c>
      <c r="AC75" s="34">
        <v>42007</v>
      </c>
      <c r="AD75" s="26">
        <v>110.59</v>
      </c>
      <c r="AE75" s="26">
        <v>116.35</v>
      </c>
      <c r="AG75" s="22" t="str">
        <f t="shared" si="3"/>
        <v>EXECUTE [dbo].[PG_CI_OPERADOR] 0, 0, 0, 407, 'RIVERA LOPEZ, JUAN ' , '' , 20 , 1 , 0, 2,'JUAN ', 'RIVERA', 'LOPEZ' , 'RILJ6205087Z6', 'RILJ620508HVZVPN03', '61896202803', 01-20-2004, '05-08-1962','','','ANDADOR 15 DE NOVIEMBRE','11','','13 DE JUNIO','39350','ACAPULCO','VER117238','01-03-2015', 110.59,'116.35''</v>
      </c>
      <c r="AH75" s="11"/>
    </row>
    <row r="76" spans="1:34" s="10" customFormat="1" x14ac:dyDescent="0.25">
      <c r="A76" s="18"/>
      <c r="B76" s="19">
        <v>0</v>
      </c>
      <c r="C76" s="19">
        <v>0</v>
      </c>
      <c r="D76" s="19">
        <v>0</v>
      </c>
      <c r="E76" s="28">
        <v>408</v>
      </c>
      <c r="F76" s="20" t="str">
        <f t="shared" si="2"/>
        <v xml:space="preserve">RODRIGUEZ SOTELO, UBALDO </v>
      </c>
      <c r="G76" s="21"/>
      <c r="H76" s="28">
        <v>19</v>
      </c>
      <c r="I76" s="28">
        <v>2</v>
      </c>
      <c r="J76" s="28">
        <v>2</v>
      </c>
      <c r="K76" s="28">
        <v>2</v>
      </c>
      <c r="L76" s="26" t="s">
        <v>2181</v>
      </c>
      <c r="M76" s="26" t="s">
        <v>1718</v>
      </c>
      <c r="N76" s="26" t="s">
        <v>1851</v>
      </c>
      <c r="O76" s="26" t="s">
        <v>2381</v>
      </c>
      <c r="P76" s="26" t="s">
        <v>512</v>
      </c>
      <c r="Q76" s="26">
        <v>33806058922</v>
      </c>
      <c r="R76" s="34">
        <v>41612</v>
      </c>
      <c r="S76" s="34">
        <v>22071</v>
      </c>
      <c r="T76" s="35" t="s">
        <v>513</v>
      </c>
      <c r="U76" s="26"/>
      <c r="V76" s="26" t="s">
        <v>2783</v>
      </c>
      <c r="W76" s="26">
        <v>15706</v>
      </c>
      <c r="X76" s="26"/>
      <c r="Y76" s="26" t="s">
        <v>515</v>
      </c>
      <c r="Z76" s="26">
        <v>31125</v>
      </c>
      <c r="AA76" s="26" t="s">
        <v>118</v>
      </c>
      <c r="AB76" s="26" t="s">
        <v>516</v>
      </c>
      <c r="AC76" s="34">
        <v>43270</v>
      </c>
      <c r="AD76" s="26">
        <v>110.59</v>
      </c>
      <c r="AE76" s="26">
        <v>115.59</v>
      </c>
      <c r="AG76" s="22" t="str">
        <f t="shared" si="3"/>
        <v>EXECUTE [dbo].[PG_CI_OPERADOR] 0, 0, 0, 408, 'RODRIGUEZ SOTELO, UBALDO ' , '' , 19 , 2 , 2, 2,'UBALDO ', 'RODRIGUEZ', 'SOTELO' , 'ROSU600604858', 'ROSU600604HCHDTB06', '33806058922', 12-04-2013, '06-04-1960','614 258 5848','','PASEOS DE BOCOYNA','15706','','PASEOS DE CHIHUAHUA','31125','CHIHUAHUA','CHIH104747    E','06-19-2018', 110.59,'115.59''</v>
      </c>
      <c r="AH76" s="11"/>
    </row>
    <row r="77" spans="1:34" s="10" customFormat="1" x14ac:dyDescent="0.25">
      <c r="A77" s="18"/>
      <c r="B77" s="19">
        <v>0</v>
      </c>
      <c r="C77" s="19">
        <v>0</v>
      </c>
      <c r="D77" s="19">
        <v>0</v>
      </c>
      <c r="E77" s="28">
        <v>409</v>
      </c>
      <c r="F77" s="20" t="str">
        <f t="shared" si="2"/>
        <v>ROJAS RAMOS, LINO BENJAMIN</v>
      </c>
      <c r="G77" s="21"/>
      <c r="H77" s="28">
        <v>20</v>
      </c>
      <c r="I77" s="28">
        <v>2</v>
      </c>
      <c r="J77" s="28">
        <v>2</v>
      </c>
      <c r="K77" s="28">
        <v>2</v>
      </c>
      <c r="L77" s="26" t="s">
        <v>2182</v>
      </c>
      <c r="M77" s="26" t="s">
        <v>1853</v>
      </c>
      <c r="N77" s="26" t="s">
        <v>1854</v>
      </c>
      <c r="O77" s="26" t="s">
        <v>2382</v>
      </c>
      <c r="P77" s="26" t="s">
        <v>518</v>
      </c>
      <c r="Q77" s="26">
        <v>6735608371</v>
      </c>
      <c r="R77" s="34">
        <v>41670</v>
      </c>
      <c r="S77" s="34">
        <v>20721</v>
      </c>
      <c r="T77" s="35" t="s">
        <v>519</v>
      </c>
      <c r="U77" s="26"/>
      <c r="V77" s="26" t="s">
        <v>2501</v>
      </c>
      <c r="W77" s="26" t="s">
        <v>2502</v>
      </c>
      <c r="X77" s="26" t="s">
        <v>2503</v>
      </c>
      <c r="Y77" s="26" t="s">
        <v>521</v>
      </c>
      <c r="Z77" s="26">
        <v>55600</v>
      </c>
      <c r="AA77" s="26" t="s">
        <v>87</v>
      </c>
      <c r="AB77" s="26" t="s">
        <v>522</v>
      </c>
      <c r="AC77" s="34">
        <v>43867</v>
      </c>
      <c r="AD77" s="26">
        <v>117.6</v>
      </c>
      <c r="AE77" s="26">
        <v>122.92</v>
      </c>
      <c r="AG77" s="22" t="str">
        <f t="shared" si="3"/>
        <v>EXECUTE [dbo].[PG_CI_OPERADOR] 0, 0, 0, 409, 'ROJAS RAMOS, LINO BENJAMIN' , '' , 20 , 2 , 2, 2,'LINO BENJAMIN', 'ROJAS', 'RAMOS' , 'RORL560923QM9', 'RORL560923HPLJMN08', '6735608371', 01-31-2014, '09-23-1956','55 3308 9888','','GAVIOTAS','MZ-23','LT-18','FRACC. ZUMPANGO','55600','ZUMPANGO','EDOM09359    E','02-06-2020', 117.6,'122.92''</v>
      </c>
      <c r="AH77" s="11"/>
    </row>
    <row r="78" spans="1:34" s="10" customFormat="1" x14ac:dyDescent="0.25">
      <c r="A78" s="18"/>
      <c r="B78" s="19">
        <v>0</v>
      </c>
      <c r="C78" s="19">
        <v>0</v>
      </c>
      <c r="D78" s="19">
        <v>0</v>
      </c>
      <c r="E78" s="28">
        <v>410</v>
      </c>
      <c r="F78" s="20" t="str">
        <f t="shared" si="2"/>
        <v xml:space="preserve">RONQUILLO OCHOA, GUSTAVO </v>
      </c>
      <c r="G78" s="21"/>
      <c r="H78" s="28">
        <v>20</v>
      </c>
      <c r="I78" s="28">
        <v>2</v>
      </c>
      <c r="J78" s="28">
        <v>2</v>
      </c>
      <c r="K78" s="28">
        <v>2</v>
      </c>
      <c r="L78" s="26" t="s">
        <v>2183</v>
      </c>
      <c r="M78" s="26" t="s">
        <v>1857</v>
      </c>
      <c r="N78" s="26" t="s">
        <v>1781</v>
      </c>
      <c r="O78" s="26" t="s">
        <v>2383</v>
      </c>
      <c r="P78" s="26" t="s">
        <v>524</v>
      </c>
      <c r="Q78" s="26">
        <v>78916921253</v>
      </c>
      <c r="R78" s="34">
        <v>41862</v>
      </c>
      <c r="S78" s="34">
        <v>25464</v>
      </c>
      <c r="T78" s="35"/>
      <c r="U78" s="26"/>
      <c r="V78" s="26" t="s">
        <v>2784</v>
      </c>
      <c r="W78" s="26">
        <v>36</v>
      </c>
      <c r="X78" s="26"/>
      <c r="Y78" s="26" t="s">
        <v>526</v>
      </c>
      <c r="Z78" s="26">
        <v>90208</v>
      </c>
      <c r="AA78" s="26" t="s">
        <v>348</v>
      </c>
      <c r="AB78" s="26"/>
      <c r="AC78" s="34">
        <v>42901</v>
      </c>
      <c r="AD78" s="26">
        <v>110.59</v>
      </c>
      <c r="AE78" s="26">
        <v>115.74</v>
      </c>
      <c r="AG78" s="22" t="str">
        <f t="shared" si="3"/>
        <v>EXECUTE [dbo].[PG_CI_OPERADOR] 0, 0, 0, 410, 'RONQUILLO OCHOA, GUSTAVO ' , '' , 20 , 2 , 2, 2,'GUSTAVO ', 'RONQUILLO', 'OCHOA' , 'ROOG690918', 'ROOG690918HVZNCS03', '78916921253', 08-11-2014, '09-18-1969','','','PROLONGACION JUAREZ','36','','ALFONSO ESPEJEL','90208','CALPULALPAN','','06-15-2017', 110.59,'115.74''</v>
      </c>
      <c r="AH78" s="11"/>
    </row>
    <row r="79" spans="1:34" s="10" customFormat="1" x14ac:dyDescent="0.25">
      <c r="A79" s="18"/>
      <c r="B79" s="19">
        <v>0</v>
      </c>
      <c r="C79" s="19">
        <v>0</v>
      </c>
      <c r="D79" s="19">
        <v>0</v>
      </c>
      <c r="E79" s="28">
        <v>411</v>
      </c>
      <c r="F79" s="20" t="str">
        <f t="shared" si="2"/>
        <v xml:space="preserve">ROSAS CRUZ, GERMAN </v>
      </c>
      <c r="G79" s="21"/>
      <c r="H79" s="28">
        <v>20</v>
      </c>
      <c r="I79" s="28">
        <v>2</v>
      </c>
      <c r="J79" s="28">
        <v>2</v>
      </c>
      <c r="K79" s="28">
        <v>2</v>
      </c>
      <c r="L79" s="26" t="s">
        <v>2184</v>
      </c>
      <c r="M79" s="26" t="s">
        <v>1859</v>
      </c>
      <c r="N79" s="26" t="s">
        <v>1699</v>
      </c>
      <c r="O79" s="26" t="s">
        <v>2384</v>
      </c>
      <c r="P79" s="26" t="s">
        <v>528</v>
      </c>
      <c r="Q79" s="26">
        <v>67987628921</v>
      </c>
      <c r="R79" s="34">
        <v>42317</v>
      </c>
      <c r="S79" s="34">
        <v>27908</v>
      </c>
      <c r="T79" s="35">
        <v>5569508751</v>
      </c>
      <c r="U79" s="26"/>
      <c r="V79" s="26" t="s">
        <v>2785</v>
      </c>
      <c r="W79" s="26" t="s">
        <v>2786</v>
      </c>
      <c r="X79" s="26" t="s">
        <v>2477</v>
      </c>
      <c r="Y79" s="26" t="s">
        <v>530</v>
      </c>
      <c r="Z79" s="26">
        <v>96536</v>
      </c>
      <c r="AA79" s="26" t="s">
        <v>531</v>
      </c>
      <c r="AB79" s="26" t="s">
        <v>532</v>
      </c>
      <c r="AC79" s="34">
        <v>43260</v>
      </c>
      <c r="AD79" s="26">
        <v>110.59</v>
      </c>
      <c r="AE79" s="26">
        <v>115.59</v>
      </c>
      <c r="AG79" s="22" t="str">
        <f t="shared" si="3"/>
        <v>EXECUTE [dbo].[PG_CI_OPERADOR] 0, 0, 0, 411, 'ROSAS CRUZ, GERMAN ' , '' , 20 , 2 , 2, 2,'GERMAN ', 'ROSAS', 'CRUZ' , 'ROCG760528BRA', 'ROCG760528HVZSRR09', '67987628921', 11-09-2015, '05-28-1976','5569508751','','SARDINA 32','MZ-19','LT-32','FRACC. PUERTO ESMERALDA','96536','COATZACOALCOS','VER123019 E','06-09-2018', 110.59,'115.59''</v>
      </c>
      <c r="AH79" s="11"/>
    </row>
    <row r="80" spans="1:34" s="10" customFormat="1" x14ac:dyDescent="0.25">
      <c r="A80" s="18"/>
      <c r="B80" s="19">
        <v>0</v>
      </c>
      <c r="C80" s="19">
        <v>0</v>
      </c>
      <c r="D80" s="19">
        <v>0</v>
      </c>
      <c r="E80" s="28">
        <v>412</v>
      </c>
      <c r="F80" s="20" t="str">
        <f t="shared" si="2"/>
        <v>ROSAS DE, JESUS JOSE</v>
      </c>
      <c r="G80" s="21"/>
      <c r="H80" s="28">
        <v>20</v>
      </c>
      <c r="I80" s="28">
        <v>1</v>
      </c>
      <c r="J80" s="28">
        <v>2</v>
      </c>
      <c r="K80" s="28">
        <v>2</v>
      </c>
      <c r="L80" s="26" t="s">
        <v>2185</v>
      </c>
      <c r="M80" s="26" t="s">
        <v>1859</v>
      </c>
      <c r="N80" s="26" t="s">
        <v>1823</v>
      </c>
      <c r="O80" s="26" t="s">
        <v>2385</v>
      </c>
      <c r="P80" s="26" t="s">
        <v>534</v>
      </c>
      <c r="Q80" s="26">
        <v>75846424069</v>
      </c>
      <c r="R80" s="34">
        <v>40801</v>
      </c>
      <c r="S80" s="34">
        <v>23392</v>
      </c>
      <c r="T80" s="35" t="s">
        <v>535</v>
      </c>
      <c r="U80" s="26"/>
      <c r="V80" s="26" t="s">
        <v>2787</v>
      </c>
      <c r="W80" s="26" t="s">
        <v>2505</v>
      </c>
      <c r="X80" s="26" t="s">
        <v>2506</v>
      </c>
      <c r="Y80" s="26" t="s">
        <v>537</v>
      </c>
      <c r="Z80" s="26">
        <v>55240</v>
      </c>
      <c r="AA80" s="26" t="s">
        <v>167</v>
      </c>
      <c r="AB80" s="26" t="s">
        <v>538</v>
      </c>
      <c r="AC80" s="34">
        <v>43144</v>
      </c>
      <c r="AD80" s="26">
        <v>110.59</v>
      </c>
      <c r="AE80" s="26">
        <v>116.19</v>
      </c>
      <c r="AG80" s="22" t="str">
        <f t="shared" si="3"/>
        <v>EXECUTE [dbo].[PG_CI_OPERADOR] 0, 0, 0, 412, 'ROSAS DE, JESUS JOSE' , '' , 20 , 1 , 2, 2,'JESUS JOSE', 'ROSAS', 'DE' , 'ROJL640116AA0', 'ROJL640116HDFSSS06', '75846424069', 09-15-2011, '01-16-1964','5774 5723','','BOULEVARD POSHTECAS','MZ-45','LT-26','LA FLORIDA DE CIUDAD AZTECA','55240','ECATEPEC','DF209599    E','02-13-2018', 110.59,'116.19''</v>
      </c>
      <c r="AH80" s="11"/>
    </row>
    <row r="81" spans="1:34" s="10" customFormat="1" x14ac:dyDescent="0.25">
      <c r="A81" s="18"/>
      <c r="B81" s="19">
        <v>0</v>
      </c>
      <c r="C81" s="19">
        <v>0</v>
      </c>
      <c r="D81" s="19">
        <v>0</v>
      </c>
      <c r="E81" s="28">
        <v>413</v>
      </c>
      <c r="F81" s="20" t="str">
        <f t="shared" si="2"/>
        <v>ROSAS PAREDES, ROBERTO CARLOS</v>
      </c>
      <c r="G81" s="21"/>
      <c r="H81" s="28">
        <v>17</v>
      </c>
      <c r="I81" s="28">
        <v>1</v>
      </c>
      <c r="J81" s="28">
        <v>2</v>
      </c>
      <c r="K81" s="28">
        <v>2</v>
      </c>
      <c r="L81" s="26" t="s">
        <v>2149</v>
      </c>
      <c r="M81" s="26" t="s">
        <v>1859</v>
      </c>
      <c r="N81" s="26" t="s">
        <v>1861</v>
      </c>
      <c r="O81" s="26" t="s">
        <v>2386</v>
      </c>
      <c r="P81" s="26" t="s">
        <v>540</v>
      </c>
      <c r="Q81" s="26">
        <v>92907201195</v>
      </c>
      <c r="R81" s="34">
        <v>42249</v>
      </c>
      <c r="S81" s="34">
        <v>26992</v>
      </c>
      <c r="T81" s="35">
        <v>6641106758</v>
      </c>
      <c r="U81" s="26"/>
      <c r="V81" s="26" t="s">
        <v>2788</v>
      </c>
      <c r="W81" s="26">
        <v>10721</v>
      </c>
      <c r="X81" s="26" t="s">
        <v>2507</v>
      </c>
      <c r="Y81" s="26" t="s">
        <v>542</v>
      </c>
      <c r="Z81" s="26">
        <v>22253</v>
      </c>
      <c r="AA81" s="26" t="s">
        <v>180</v>
      </c>
      <c r="AB81" s="26"/>
      <c r="AC81" s="34">
        <v>42684</v>
      </c>
      <c r="AD81" s="26">
        <v>110.59</v>
      </c>
      <c r="AE81" s="26">
        <v>115.59</v>
      </c>
      <c r="AG81" s="22" t="str">
        <f t="shared" si="3"/>
        <v>EXECUTE [dbo].[PG_CI_OPERADOR] 0, 0, 0, 413, 'ROSAS PAREDES, ROBERTO CARLOS' , '' , 17 , 1 , 2, 2,'ROBERTO CARLOS', 'ROSAS', 'PAREDES' , 'ROPR731124180', 'ROPR731124HDFSRB02', '92907201195', 09-02-2015, '11-24-1973','6641106758','','PRIVADA ALAMOS','10721','11B','FRACC. PASEOS DEL VERGUEL','22253','TIJUANA','','11-10-2016', 110.59,'115.59''</v>
      </c>
      <c r="AH81" s="11"/>
    </row>
    <row r="82" spans="1:34" s="10" customFormat="1" x14ac:dyDescent="0.25">
      <c r="A82" s="18"/>
      <c r="B82" s="19">
        <v>0</v>
      </c>
      <c r="C82" s="19">
        <v>0</v>
      </c>
      <c r="D82" s="19">
        <v>0</v>
      </c>
      <c r="E82" s="28">
        <v>414</v>
      </c>
      <c r="F82" s="20" t="str">
        <f t="shared" si="2"/>
        <v>SANCHEZ PORTILLO, JUAN GABRIEL</v>
      </c>
      <c r="G82" s="21"/>
      <c r="H82" s="28">
        <v>20</v>
      </c>
      <c r="I82" s="28">
        <v>1</v>
      </c>
      <c r="J82" s="28">
        <v>0</v>
      </c>
      <c r="K82" s="28">
        <v>2</v>
      </c>
      <c r="L82" s="26" t="s">
        <v>2128</v>
      </c>
      <c r="M82" s="26" t="s">
        <v>1862</v>
      </c>
      <c r="N82" s="26" t="s">
        <v>1863</v>
      </c>
      <c r="O82" s="26" t="s">
        <v>2387</v>
      </c>
      <c r="P82" s="26" t="s">
        <v>544</v>
      </c>
      <c r="Q82" s="26">
        <v>94947406073</v>
      </c>
      <c r="R82" s="34">
        <v>38988</v>
      </c>
      <c r="S82" s="34">
        <v>27358</v>
      </c>
      <c r="T82" s="35"/>
      <c r="U82" s="26"/>
      <c r="V82" s="26" t="s">
        <v>222</v>
      </c>
      <c r="W82" s="26" t="s">
        <v>2508</v>
      </c>
      <c r="X82" s="26" t="s">
        <v>2448</v>
      </c>
      <c r="Y82" s="26" t="s">
        <v>546</v>
      </c>
      <c r="Z82" s="26">
        <v>55120</v>
      </c>
      <c r="AA82" s="26" t="s">
        <v>240</v>
      </c>
      <c r="AB82" s="26" t="s">
        <v>547</v>
      </c>
      <c r="AC82" s="34">
        <v>43144</v>
      </c>
      <c r="AD82" s="26">
        <v>110.59</v>
      </c>
      <c r="AE82" s="26">
        <v>116.19</v>
      </c>
      <c r="AG82" s="22" t="str">
        <f t="shared" si="3"/>
        <v>EXECUTE [dbo].[PG_CI_OPERADOR] 0, 0, 0, 414, 'SANCHEZ PORTILLO, JUAN GABRIEL' , '' , 20 , 1 , 0, 2,'JUAN GABRIEL', 'SANCHEZ', 'PORTILLO' , 'SAPJ741125JY5', 'SAPJ741125HVZNRX04', '94947406073', 09-28-2006, '11-25-1974','','','LAZARO CARDENAS','MZ-13','LT-10','POPULAR','55120','ECATEPEC DE MORELOS','DF00231484   E','02-13-2018', 110.59,'116.19''</v>
      </c>
      <c r="AH82" s="11"/>
    </row>
    <row r="83" spans="1:34" s="10" customFormat="1" x14ac:dyDescent="0.25">
      <c r="A83" s="18"/>
      <c r="B83" s="19">
        <v>0</v>
      </c>
      <c r="C83" s="19">
        <v>0</v>
      </c>
      <c r="D83" s="19">
        <v>0</v>
      </c>
      <c r="E83" s="28">
        <v>415</v>
      </c>
      <c r="F83" s="20" t="str">
        <f t="shared" si="2"/>
        <v xml:space="preserve">SANCHEZ SANCHEZ, ABRAHAM </v>
      </c>
      <c r="G83" s="21"/>
      <c r="H83" s="28">
        <v>20</v>
      </c>
      <c r="I83" s="28">
        <v>1</v>
      </c>
      <c r="J83" s="28">
        <v>0</v>
      </c>
      <c r="K83" s="28">
        <v>2</v>
      </c>
      <c r="L83" s="26" t="s">
        <v>2186</v>
      </c>
      <c r="M83" s="26" t="s">
        <v>1862</v>
      </c>
      <c r="N83" s="26" t="s">
        <v>1862</v>
      </c>
      <c r="O83" s="26" t="s">
        <v>2388</v>
      </c>
      <c r="P83" s="26" t="s">
        <v>549</v>
      </c>
      <c r="Q83" s="26">
        <v>92917211424</v>
      </c>
      <c r="R83" s="34">
        <v>39038</v>
      </c>
      <c r="S83" s="34">
        <v>26477</v>
      </c>
      <c r="T83" s="35"/>
      <c r="U83" s="26"/>
      <c r="V83" s="26" t="s">
        <v>2789</v>
      </c>
      <c r="W83" s="26">
        <v>4</v>
      </c>
      <c r="X83" s="26"/>
      <c r="Y83" s="26" t="s">
        <v>551</v>
      </c>
      <c r="Z83" s="26">
        <v>55970</v>
      </c>
      <c r="AA83" s="26" t="s">
        <v>551</v>
      </c>
      <c r="AB83" s="26" t="s">
        <v>552</v>
      </c>
      <c r="AC83" s="34">
        <v>43144</v>
      </c>
      <c r="AD83" s="26">
        <v>110.59</v>
      </c>
      <c r="AE83" s="26">
        <v>116.19</v>
      </c>
      <c r="AG83" s="22" t="str">
        <f t="shared" si="3"/>
        <v>EXECUTE [dbo].[PG_CI_OPERADOR] 0, 0, 0, 415, 'SANCHEZ SANCHEZ, ABRAHAM ' , '' , 20 , 1 , 0, 2,'ABRAHAM ', 'SANCHEZ', 'SANCHEZ' , 'SASA7206276M2', 'SASA720627HDFNNB04', '92917211424', 11-17-2006, '06-27-1972','','','FERNANDO DAVILA','4','','NOPALTEPEC','55970','NOPALTEPEC','DF00135426   E','02-13-2018', 110.59,'116.19''</v>
      </c>
      <c r="AH83" s="11"/>
    </row>
    <row r="84" spans="1:34" s="10" customFormat="1" x14ac:dyDescent="0.25">
      <c r="A84" s="18"/>
      <c r="B84" s="19">
        <v>0</v>
      </c>
      <c r="C84" s="19">
        <v>0</v>
      </c>
      <c r="D84" s="19">
        <v>0</v>
      </c>
      <c r="E84" s="28">
        <v>416</v>
      </c>
      <c r="F84" s="20" t="str">
        <f t="shared" si="2"/>
        <v xml:space="preserve">SANTOS MATIAS, JUSTO </v>
      </c>
      <c r="G84" s="21"/>
      <c r="H84" s="28">
        <v>19</v>
      </c>
      <c r="I84" s="28">
        <v>1</v>
      </c>
      <c r="J84" s="28">
        <v>0</v>
      </c>
      <c r="K84" s="28">
        <v>2</v>
      </c>
      <c r="L84" s="26" t="s">
        <v>2187</v>
      </c>
      <c r="M84" s="26" t="s">
        <v>1865</v>
      </c>
      <c r="N84" s="26" t="s">
        <v>1866</v>
      </c>
      <c r="O84" s="26" t="s">
        <v>2389</v>
      </c>
      <c r="P84" s="26" t="s">
        <v>554</v>
      </c>
      <c r="Q84" s="26">
        <v>67877251057</v>
      </c>
      <c r="R84" s="34">
        <v>39848</v>
      </c>
      <c r="S84" s="34">
        <v>26447</v>
      </c>
      <c r="T84" s="35"/>
      <c r="U84" s="26"/>
      <c r="V84" s="26" t="s">
        <v>2790</v>
      </c>
      <c r="W84" s="26">
        <v>220</v>
      </c>
      <c r="X84" s="26">
        <v>1</v>
      </c>
      <c r="Y84" s="26" t="s">
        <v>556</v>
      </c>
      <c r="Z84" s="26">
        <v>32630</v>
      </c>
      <c r="AA84" s="26" t="s">
        <v>117</v>
      </c>
      <c r="AB84" s="26"/>
      <c r="AC84" s="34">
        <v>42684</v>
      </c>
      <c r="AD84" s="26">
        <v>110.59</v>
      </c>
      <c r="AE84" s="26">
        <v>116.19</v>
      </c>
      <c r="AG84" s="22" t="str">
        <f t="shared" si="3"/>
        <v>EXECUTE [dbo].[PG_CI_OPERADOR] 0, 0, 0, 416, 'SANTOS MATIAS, JUSTO ' , '' , 19 , 1 , 0, 2,'JUSTO ', 'SANTOS', 'MATIAS' , 'SAMJ720528EM0', 'SAMJ720528HOCNTS05', '67877251057', 02-04-2009, '05-28-1972','','','PASEO DE LOS SANTOS','220','1','LAS LILAS','32630','CD. JUAREZ','','11-10-2016', 110.59,'116.19''</v>
      </c>
      <c r="AH84" s="11"/>
    </row>
    <row r="85" spans="1:34" s="10" customFormat="1" x14ac:dyDescent="0.25">
      <c r="A85" s="18"/>
      <c r="B85" s="19">
        <v>0</v>
      </c>
      <c r="C85" s="19">
        <v>0</v>
      </c>
      <c r="D85" s="19">
        <v>0</v>
      </c>
      <c r="E85" s="28">
        <v>419</v>
      </c>
      <c r="F85" s="20" t="str">
        <f t="shared" si="2"/>
        <v xml:space="preserve">TREJO AGUILAR, EDUARDO </v>
      </c>
      <c r="G85" s="21"/>
      <c r="H85" s="28">
        <v>20</v>
      </c>
      <c r="I85" s="28">
        <v>1</v>
      </c>
      <c r="J85" s="28">
        <v>2</v>
      </c>
      <c r="K85" s="28">
        <v>2</v>
      </c>
      <c r="L85" s="26" t="s">
        <v>2156</v>
      </c>
      <c r="M85" s="26" t="s">
        <v>1868</v>
      </c>
      <c r="N85" s="26" t="s">
        <v>1869</v>
      </c>
      <c r="O85" s="26" t="s">
        <v>2390</v>
      </c>
      <c r="P85" s="26" t="s">
        <v>558</v>
      </c>
      <c r="Q85" s="26">
        <v>13806313964</v>
      </c>
      <c r="R85" s="34">
        <v>39896</v>
      </c>
      <c r="S85" s="34">
        <v>23113</v>
      </c>
      <c r="T85" s="35" t="s">
        <v>559</v>
      </c>
      <c r="U85" s="26"/>
      <c r="V85" s="26" t="s">
        <v>2509</v>
      </c>
      <c r="W85" s="26">
        <v>3</v>
      </c>
      <c r="X85" s="26"/>
      <c r="Y85" s="26" t="s">
        <v>561</v>
      </c>
      <c r="Z85" s="26">
        <v>42880</v>
      </c>
      <c r="AA85" s="26" t="s">
        <v>562</v>
      </c>
      <c r="AB85" s="26" t="s">
        <v>563</v>
      </c>
      <c r="AC85" s="34">
        <v>43140</v>
      </c>
      <c r="AD85" s="26">
        <v>110.59</v>
      </c>
      <c r="AE85" s="26">
        <v>116.19</v>
      </c>
      <c r="AG85" s="22" t="str">
        <f t="shared" si="3"/>
        <v>EXECUTE [dbo].[PG_CI_OPERADOR] 0, 0, 0, 419, 'TREJO AGUILAR, EDUARDO ' , '' , 20 , 1 , 2, 2,'EDUARDO ', 'TREJO', 'AGUILAR' , 'TEAE630412BR0', 'TEAE630412HHGRGD03', '13806313964', 03-24-2009, '04-12-1963','01 773 113 65 65','','CUITLAHUAC','3','','SANTIAGO TLAPANALOYA','42880','TEPEJI DEL RIO','DF00156088   E','02-09-2018', 110.59,'116.19''</v>
      </c>
      <c r="AH85" s="11"/>
    </row>
    <row r="86" spans="1:34" s="10" customFormat="1" x14ac:dyDescent="0.25">
      <c r="A86" s="18"/>
      <c r="B86" s="19">
        <v>0</v>
      </c>
      <c r="C86" s="19">
        <v>0</v>
      </c>
      <c r="D86" s="19">
        <v>0</v>
      </c>
      <c r="E86" s="28">
        <v>421</v>
      </c>
      <c r="F86" s="20" t="str">
        <f t="shared" si="2"/>
        <v>VELAZQUEZ DE, LUNA JOSE</v>
      </c>
      <c r="G86" s="21"/>
      <c r="H86" s="28">
        <v>20</v>
      </c>
      <c r="I86" s="28">
        <v>1</v>
      </c>
      <c r="J86" s="28">
        <v>2</v>
      </c>
      <c r="K86" s="28">
        <v>2</v>
      </c>
      <c r="L86" s="26" t="s">
        <v>2188</v>
      </c>
      <c r="M86" s="26" t="s">
        <v>1870</v>
      </c>
      <c r="N86" s="26" t="s">
        <v>1823</v>
      </c>
      <c r="O86" s="26" t="s">
        <v>2391</v>
      </c>
      <c r="P86" s="26" t="s">
        <v>565</v>
      </c>
      <c r="Q86" s="26">
        <v>4977803891</v>
      </c>
      <c r="R86" s="34">
        <v>41586</v>
      </c>
      <c r="S86" s="34">
        <v>28716</v>
      </c>
      <c r="T86" s="35" t="s">
        <v>566</v>
      </c>
      <c r="U86" s="26"/>
      <c r="V86" s="26" t="s">
        <v>2791</v>
      </c>
      <c r="W86" s="26">
        <v>218</v>
      </c>
      <c r="X86" s="26"/>
      <c r="Y86" s="26" t="s">
        <v>568</v>
      </c>
      <c r="Z86" s="26">
        <v>45645</v>
      </c>
      <c r="AA86" s="26" t="s">
        <v>569</v>
      </c>
      <c r="AB86" s="26" t="s">
        <v>570</v>
      </c>
      <c r="AC86" s="34">
        <v>43140</v>
      </c>
      <c r="AD86" s="26">
        <v>110.59</v>
      </c>
      <c r="AE86" s="26">
        <v>115.59</v>
      </c>
      <c r="AG86" s="22" t="str">
        <f t="shared" si="3"/>
        <v>EXECUTE [dbo].[PG_CI_OPERADOR] 0, 0, 0, 421, 'VELAZQUEZ DE, LUNA JOSE' , '' , 20 , 1 , 2, 2,'LUNA JOSE', 'VELAZQUEZ', 'DE' , 'VELD780814AS3', 'VELD780814HJCLNV05', '4977803891', 11-08-2013, '08-14-1978','1507 6808','','LOMA BLANCA ORIENTE','218','','LOMAS DE SAN AGUSTIN','45645','TLAJOMULCO DE ZUÃ‘IGA','JAL0030123    B-E','02-09-2018', 110.59,'115.59''</v>
      </c>
      <c r="AH86" s="11"/>
    </row>
    <row r="87" spans="1:34" s="10" customFormat="1" x14ac:dyDescent="0.25">
      <c r="A87" s="18"/>
      <c r="B87" s="19">
        <v>0</v>
      </c>
      <c r="C87" s="19">
        <v>0</v>
      </c>
      <c r="D87" s="19">
        <v>0</v>
      </c>
      <c r="E87" s="28">
        <v>422</v>
      </c>
      <c r="F87" s="20" t="str">
        <f t="shared" si="2"/>
        <v>VIRUEGA BALDOMERO, EDGAR ENRIQUE</v>
      </c>
      <c r="G87" s="21"/>
      <c r="H87" s="28">
        <v>20</v>
      </c>
      <c r="I87" s="28">
        <v>2</v>
      </c>
      <c r="J87" s="28">
        <v>0</v>
      </c>
      <c r="K87" s="28">
        <v>2</v>
      </c>
      <c r="L87" s="26" t="s">
        <v>2189</v>
      </c>
      <c r="M87" s="26" t="s">
        <v>1872</v>
      </c>
      <c r="N87" s="26" t="s">
        <v>1873</v>
      </c>
      <c r="O87" s="26" t="s">
        <v>2392</v>
      </c>
      <c r="P87" s="26" t="s">
        <v>572</v>
      </c>
      <c r="Q87" s="26">
        <v>11957308973</v>
      </c>
      <c r="R87" s="34">
        <v>41761</v>
      </c>
      <c r="S87" s="34">
        <v>26856</v>
      </c>
      <c r="T87" s="35" t="s">
        <v>573</v>
      </c>
      <c r="U87" s="26"/>
      <c r="V87" s="26" t="s">
        <v>2510</v>
      </c>
      <c r="W87" s="26">
        <v>93</v>
      </c>
      <c r="X87" s="26"/>
      <c r="Y87" s="26" t="s">
        <v>575</v>
      </c>
      <c r="Z87" s="26">
        <v>54680</v>
      </c>
      <c r="AA87" s="26" t="s">
        <v>322</v>
      </c>
      <c r="AB87" s="26" t="s">
        <v>576</v>
      </c>
      <c r="AC87" s="34">
        <v>42901</v>
      </c>
      <c r="AD87" s="26">
        <v>110.59</v>
      </c>
      <c r="AE87" s="26">
        <v>115.74</v>
      </c>
      <c r="AG87" s="22" t="str">
        <f t="shared" si="3"/>
        <v>EXECUTE [dbo].[PG_CI_OPERADOR] 0, 0, 0, 422, 'VIRUEGA BALDOMERO, EDGAR ENRIQUE' , '' , 20 , 2 , 0, 2,'EDGAR ENRIQUE', 'VIRUEGA', 'BALDOMERO' , 'VIBE730711', 'VIBE730711HDFRLD09', '11957308973', 05-02-2014, '07-11-1973','55 3694 7894','','ROBLEDO','93','','FRACC. URBI VILLA DEL REY','54680','HUEHUETOCA','DF00224509    B E','06-15-2017', 110.59,'115.74''</v>
      </c>
      <c r="AH87" s="11"/>
    </row>
    <row r="88" spans="1:34" s="10" customFormat="1" x14ac:dyDescent="0.25">
      <c r="A88" s="18"/>
      <c r="B88" s="19">
        <v>0</v>
      </c>
      <c r="C88" s="19">
        <v>0</v>
      </c>
      <c r="D88" s="19">
        <v>0</v>
      </c>
      <c r="E88" s="28">
        <v>423</v>
      </c>
      <c r="F88" s="20" t="str">
        <f t="shared" si="2"/>
        <v>JUAN MANUEL, MORENO CASTRO</v>
      </c>
      <c r="G88" s="21"/>
      <c r="H88" s="28">
        <v>28</v>
      </c>
      <c r="I88" s="28">
        <v>1</v>
      </c>
      <c r="J88" s="28">
        <v>2</v>
      </c>
      <c r="K88" s="28">
        <v>2</v>
      </c>
      <c r="L88" s="26" t="s">
        <v>2190</v>
      </c>
      <c r="M88" s="26" t="s">
        <v>1706</v>
      </c>
      <c r="N88" s="26" t="s">
        <v>1740</v>
      </c>
      <c r="O88" s="26" t="s">
        <v>580</v>
      </c>
      <c r="P88" s="26" t="s">
        <v>581</v>
      </c>
      <c r="Q88" s="26">
        <v>25977931150</v>
      </c>
      <c r="R88" s="34">
        <v>42313</v>
      </c>
      <c r="S88" s="34" t="s">
        <v>579</v>
      </c>
      <c r="T88" s="35">
        <v>6264462</v>
      </c>
      <c r="U88" s="26"/>
      <c r="V88" s="26" t="s">
        <v>2511</v>
      </c>
      <c r="W88" s="26">
        <v>8169</v>
      </c>
      <c r="X88" s="26" t="s">
        <v>2513</v>
      </c>
      <c r="Y88" s="26" t="s">
        <v>583</v>
      </c>
      <c r="Z88" s="26">
        <v>32600</v>
      </c>
      <c r="AA88" s="26" t="s">
        <v>180</v>
      </c>
      <c r="AB88" s="26" t="s">
        <v>584</v>
      </c>
      <c r="AC88" s="34">
        <v>43248</v>
      </c>
      <c r="AD88" s="26">
        <v>427.84</v>
      </c>
      <c r="AE88" s="26">
        <v>447</v>
      </c>
      <c r="AG88" s="22" t="str">
        <f t="shared" si="3"/>
        <v>EXECUTE [dbo].[PG_CI_OPERADOR] 0, 0, 0, 423, 'JUAN MANUEL, MORENO CASTRO' , '' , 28 , 1 , 2, 2,'MORENO CASTRO', 'JUAN', 'MANUEL' , 'MOCJ820113L58', 'MOCJ820113HBCRSN06', '25977931150', 11-05-2015, '1882-01-13','6264462','','HAITIANOS','8169','2D','INF. CACHANILLA','32600','TIJUANA','B-E FEDERAL','05-28-2018', 427.84,'447''</v>
      </c>
      <c r="AH88" s="11"/>
    </row>
    <row r="89" spans="1:34" s="10" customFormat="1" x14ac:dyDescent="0.25">
      <c r="A89" s="18"/>
      <c r="B89" s="19">
        <v>0</v>
      </c>
      <c r="C89" s="19">
        <v>0</v>
      </c>
      <c r="D89" s="19">
        <v>0</v>
      </c>
      <c r="E89" s="28">
        <v>425</v>
      </c>
      <c r="F89" s="20" t="str">
        <f t="shared" si="2"/>
        <v xml:space="preserve">DORANTES GARCIA, RAMIRO </v>
      </c>
      <c r="G89" s="21"/>
      <c r="H89" s="28">
        <v>20</v>
      </c>
      <c r="I89" s="28">
        <v>1</v>
      </c>
      <c r="J89" s="28">
        <v>2</v>
      </c>
      <c r="K89" s="28">
        <v>2</v>
      </c>
      <c r="L89" s="26" t="s">
        <v>2191</v>
      </c>
      <c r="M89" s="26" t="s">
        <v>1876</v>
      </c>
      <c r="N89" s="26" t="s">
        <v>1773</v>
      </c>
      <c r="O89" s="26" t="s">
        <v>2393</v>
      </c>
      <c r="P89" s="26" t="s">
        <v>586</v>
      </c>
      <c r="Q89" s="26">
        <v>11755681415</v>
      </c>
      <c r="R89" s="34">
        <v>40522</v>
      </c>
      <c r="S89" s="34">
        <v>20528</v>
      </c>
      <c r="T89" s="35" t="s">
        <v>587</v>
      </c>
      <c r="U89" s="26"/>
      <c r="V89" s="26" t="s">
        <v>2792</v>
      </c>
      <c r="W89" s="26" t="s">
        <v>13</v>
      </c>
      <c r="X89" s="26"/>
      <c r="Y89" s="26" t="s">
        <v>315</v>
      </c>
      <c r="Z89" s="26">
        <v>39120</v>
      </c>
      <c r="AA89" s="26" t="s">
        <v>316</v>
      </c>
      <c r="AB89" s="26" t="s">
        <v>589</v>
      </c>
      <c r="AC89" s="34">
        <v>43140</v>
      </c>
      <c r="AD89" s="26">
        <v>110.59</v>
      </c>
      <c r="AE89" s="26">
        <v>115.59</v>
      </c>
      <c r="AG89" s="22" t="str">
        <f t="shared" si="3"/>
        <v>EXECUTE [dbo].[PG_CI_OPERADOR] 0, 0, 0, 425, 'DORANTES GARCIA, RAMIRO ' , '' , 20 , 1 , 2, 2,'RAMIRO ', 'DORANTES', 'GARCIA' , 'DOGR560314T83', 'DOGR560314HGRRRM04', '11755681415', 12-10-2010, '03-14-1956','747 1276 337','','CARRETERA NACIONAL MEXICO-ACAPULCO','S/N','','LOS CAJELITOS','39120','CHILPANCINGO DE LOS BRAVOS','GRO0002200','02-09-2018', 110.59,'115.59''</v>
      </c>
      <c r="AH89" s="11"/>
    </row>
    <row r="90" spans="1:34" s="10" customFormat="1" x14ac:dyDescent="0.25">
      <c r="A90" s="18"/>
      <c r="B90" s="19">
        <v>0</v>
      </c>
      <c r="C90" s="19">
        <v>0</v>
      </c>
      <c r="D90" s="19">
        <v>0</v>
      </c>
      <c r="E90" s="28">
        <v>426</v>
      </c>
      <c r="F90" s="20" t="str">
        <f t="shared" si="2"/>
        <v>SPINDOLA BLANCO, DAVID ROMAN</v>
      </c>
      <c r="G90" s="21"/>
      <c r="H90" s="28">
        <v>20</v>
      </c>
      <c r="I90" s="28">
        <v>2</v>
      </c>
      <c r="J90" s="28">
        <v>2</v>
      </c>
      <c r="K90" s="28">
        <v>2</v>
      </c>
      <c r="L90" s="26" t="s">
        <v>2192</v>
      </c>
      <c r="M90" s="26" t="s">
        <v>1878</v>
      </c>
      <c r="N90" s="26" t="s">
        <v>1879</v>
      </c>
      <c r="O90" s="26" t="s">
        <v>591</v>
      </c>
      <c r="P90" s="26" t="s">
        <v>592</v>
      </c>
      <c r="Q90" s="26">
        <v>42977305293</v>
      </c>
      <c r="R90" s="34">
        <v>42314</v>
      </c>
      <c r="S90" s="34">
        <v>26824</v>
      </c>
      <c r="T90" s="35">
        <v>5569508751</v>
      </c>
      <c r="U90" s="26"/>
      <c r="V90" s="26" t="s">
        <v>2793</v>
      </c>
      <c r="W90" s="26">
        <v>49</v>
      </c>
      <c r="X90" s="26"/>
      <c r="Y90" s="26" t="s">
        <v>594</v>
      </c>
      <c r="Z90" s="26">
        <v>9270</v>
      </c>
      <c r="AA90" s="26" t="s">
        <v>594</v>
      </c>
      <c r="AB90" s="26" t="s">
        <v>595</v>
      </c>
      <c r="AC90" s="34">
        <v>43069</v>
      </c>
      <c r="AD90" s="26">
        <v>110.59</v>
      </c>
      <c r="AE90" s="26">
        <v>115.59</v>
      </c>
      <c r="AG90" s="22" t="str">
        <f t="shared" si="3"/>
        <v>EXECUTE [dbo].[PG_CI_OPERADOR] 0, 0, 0, 426, 'SPINDOLA BLANCO, DAVID ROMAN' , '' , 20 , 2 , 2, 2,'DAVID ROMAN', 'SPINDOLA', 'BLANCO' , 'SIBD730609', 'SIBD730609HDFPLV00', '42977305293', 11-06-2015, '06-09-1973','5569508751','','ALFONSO HERRERA','49','','IZTAPALAPA','9270','IZTAPALAPA','DF00149147   B E','11-30-2017', 110.59,'115.59''</v>
      </c>
      <c r="AH90" s="11"/>
    </row>
    <row r="91" spans="1:34" s="10" customFormat="1" x14ac:dyDescent="0.25">
      <c r="A91" s="18"/>
      <c r="B91" s="19">
        <v>0</v>
      </c>
      <c r="C91" s="19">
        <v>0</v>
      </c>
      <c r="D91" s="19">
        <v>0</v>
      </c>
      <c r="E91" s="28">
        <v>428</v>
      </c>
      <c r="F91" s="20" t="str">
        <f t="shared" si="2"/>
        <v>SANCHEZ HERNANDEZ, HECTOR ESTEBAN</v>
      </c>
      <c r="G91" s="21"/>
      <c r="H91" s="28">
        <v>20</v>
      </c>
      <c r="I91" s="28">
        <v>2</v>
      </c>
      <c r="J91" s="28">
        <v>2</v>
      </c>
      <c r="K91" s="28">
        <v>2</v>
      </c>
      <c r="L91" s="26" t="s">
        <v>2193</v>
      </c>
      <c r="M91" s="26" t="s">
        <v>1862</v>
      </c>
      <c r="N91" s="26" t="s">
        <v>1713</v>
      </c>
      <c r="O91" s="26" t="s">
        <v>2394</v>
      </c>
      <c r="P91" s="26" t="s">
        <v>597</v>
      </c>
      <c r="Q91" s="26">
        <v>4988223097</v>
      </c>
      <c r="R91" s="34">
        <v>42451</v>
      </c>
      <c r="S91" s="34">
        <v>30194</v>
      </c>
      <c r="T91" s="35">
        <v>4811037629</v>
      </c>
      <c r="U91" s="26"/>
      <c r="V91" s="26" t="s">
        <v>2514</v>
      </c>
      <c r="W91" s="26">
        <v>114</v>
      </c>
      <c r="X91" s="26"/>
      <c r="Y91" s="26" t="s">
        <v>599</v>
      </c>
      <c r="Z91" s="26">
        <v>36970</v>
      </c>
      <c r="AA91" s="26" t="s">
        <v>600</v>
      </c>
      <c r="AB91" s="26"/>
      <c r="AC91" s="34">
        <v>43266</v>
      </c>
      <c r="AD91" s="26">
        <v>125</v>
      </c>
      <c r="AE91" s="26">
        <v>130.65</v>
      </c>
      <c r="AG91" s="22" t="str">
        <f t="shared" si="3"/>
        <v>EXECUTE [dbo].[PG_CI_OPERADOR] 0, 0, 0, 428, 'SANCHEZ HERNANDEZ, HECTOR ESTEBAN' , '' , 20 , 2 , 2, 2,'HECTOR ESTEBAN', 'SANCHEZ', 'HERNANDEZ' , 'SAHH8208314R1', 'SAHH820831HZSNRC01', '4988223097', 03-22-2016, '08-31-1982','4811037629','','BUGAMBILIAS','114','','LAS MARGARITAS','36970','ABASOLO','','06-15-2018', 125,'130.65''</v>
      </c>
      <c r="AH91" s="11"/>
    </row>
    <row r="92" spans="1:34" s="10" customFormat="1" x14ac:dyDescent="0.25">
      <c r="A92" s="18"/>
      <c r="B92" s="19">
        <v>0</v>
      </c>
      <c r="C92" s="19">
        <v>0</v>
      </c>
      <c r="D92" s="19">
        <v>0</v>
      </c>
      <c r="E92" s="28">
        <v>429</v>
      </c>
      <c r="F92" s="20" t="str">
        <f t="shared" si="2"/>
        <v xml:space="preserve">MARTINEZ RODRIGUEZ, RAMIRO </v>
      </c>
      <c r="G92" s="21"/>
      <c r="H92" s="28">
        <v>20</v>
      </c>
      <c r="I92" s="28">
        <v>1</v>
      </c>
      <c r="J92" s="28">
        <v>2</v>
      </c>
      <c r="K92" s="28">
        <v>2</v>
      </c>
      <c r="L92" s="26" t="s">
        <v>2191</v>
      </c>
      <c r="M92" s="26" t="s">
        <v>1765</v>
      </c>
      <c r="N92" s="26" t="s">
        <v>1718</v>
      </c>
      <c r="O92" s="26" t="s">
        <v>2395</v>
      </c>
      <c r="P92" s="26" t="s">
        <v>603</v>
      </c>
      <c r="Q92" s="26">
        <v>51886801979</v>
      </c>
      <c r="R92" s="34">
        <v>43392</v>
      </c>
      <c r="S92" s="34">
        <v>25108</v>
      </c>
      <c r="T92" s="35">
        <v>4491260569</v>
      </c>
      <c r="U92" s="26"/>
      <c r="V92" s="26" t="s">
        <v>2794</v>
      </c>
      <c r="W92" s="26" t="s">
        <v>2451</v>
      </c>
      <c r="X92" s="26">
        <v>848</v>
      </c>
      <c r="Y92" s="26" t="s">
        <v>605</v>
      </c>
      <c r="Z92" s="26">
        <v>20298</v>
      </c>
      <c r="AA92" s="26" t="s">
        <v>606</v>
      </c>
      <c r="AB92" s="26" t="s">
        <v>608</v>
      </c>
      <c r="AC92" s="34">
        <v>43397</v>
      </c>
      <c r="AD92" s="26">
        <v>110.59</v>
      </c>
      <c r="AE92" s="26">
        <v>115.59</v>
      </c>
      <c r="AG92" s="22" t="str">
        <f t="shared" si="3"/>
        <v>EXECUTE [dbo].[PG_CI_OPERADOR] 0, 0, 0, 429, 'MARTINEZ RODRIGUEZ, RAMIRO ' , '' , 20 , 1 , 2, 2,'RAMIRO ', 'MARTINEZ', 'RODRIGUEZ' , 'MARR680927UF4', 'MARR680927HJCRDM07', '51886801979', 10-19-2018, '09-27-1968','4491260569','','SIXTO VERDUGO','NÂº','848','FRACCIONAMIENTO EMILIANO ZAPATA','20298','AGUASCALIENTES','AGS0004072','10-24-2018', 110.59,'115.59''</v>
      </c>
      <c r="AH92" s="11"/>
    </row>
    <row r="93" spans="1:34" s="10" customFormat="1" x14ac:dyDescent="0.25">
      <c r="A93" s="18"/>
      <c r="B93" s="19">
        <v>0</v>
      </c>
      <c r="C93" s="19">
        <v>0</v>
      </c>
      <c r="D93" s="19">
        <v>0</v>
      </c>
      <c r="E93" s="28">
        <v>430</v>
      </c>
      <c r="F93" s="20" t="str">
        <f t="shared" si="2"/>
        <v>CASTAÃ‘EDA DE, LA ROSA</v>
      </c>
      <c r="G93" s="21"/>
      <c r="H93" s="28">
        <v>20</v>
      </c>
      <c r="I93" s="28">
        <v>2</v>
      </c>
      <c r="J93" s="28">
        <v>2</v>
      </c>
      <c r="K93" s="28">
        <v>2</v>
      </c>
      <c r="L93" s="26" t="s">
        <v>2194</v>
      </c>
      <c r="M93" s="26" t="s">
        <v>1883</v>
      </c>
      <c r="N93" s="26" t="s">
        <v>1823</v>
      </c>
      <c r="O93" s="26" t="s">
        <v>2396</v>
      </c>
      <c r="P93" s="26" t="s">
        <v>610</v>
      </c>
      <c r="Q93" s="26">
        <v>4866441688</v>
      </c>
      <c r="R93" s="34">
        <v>42461</v>
      </c>
      <c r="S93" s="34">
        <v>23338</v>
      </c>
      <c r="T93" s="35">
        <v>4521008243</v>
      </c>
      <c r="U93" s="26"/>
      <c r="V93" s="26" t="s">
        <v>611</v>
      </c>
      <c r="W93" s="26"/>
      <c r="X93" s="26"/>
      <c r="Y93" s="26"/>
      <c r="Z93" s="26"/>
      <c r="AA93" s="26"/>
      <c r="AB93" s="26"/>
      <c r="AC93" s="34"/>
      <c r="AD93" s="26"/>
      <c r="AE93" s="26"/>
      <c r="AG93" s="22" t="str">
        <f t="shared" si="3"/>
        <v>EXECUTE [dbo].[PG_CI_OPERADOR] 0, 0, 0, 430, 'CASTAÃ‘EDA DE, LA ROSA' , '' , 20 , 2 , 2, 2,'LA ROSA', 'CASTAÃ‘EDA', 'DE' , 'CARJ631123FE8', 'CARJ631123HGTSSM03', '4866441688', 04-01-2016, '11-23-1963','4521008243','','TZIPEKUA NÂº 2','','','','','','','01-00-1900', ,'''</v>
      </c>
      <c r="AH93" s="11"/>
    </row>
    <row r="94" spans="1:34" s="10" customFormat="1" x14ac:dyDescent="0.25">
      <c r="A94" s="18"/>
      <c r="B94" s="19">
        <v>0</v>
      </c>
      <c r="C94" s="19">
        <v>0</v>
      </c>
      <c r="D94" s="19">
        <v>0</v>
      </c>
      <c r="E94" s="28">
        <v>432</v>
      </c>
      <c r="F94" s="20" t="str">
        <f t="shared" si="2"/>
        <v>HERNANDEZ DÃŒAZ, MIGUEL ANGEL</v>
      </c>
      <c r="G94" s="21"/>
      <c r="H94" s="28">
        <v>20</v>
      </c>
      <c r="I94" s="28">
        <v>1</v>
      </c>
      <c r="J94" s="28">
        <v>2</v>
      </c>
      <c r="K94" s="28">
        <v>2</v>
      </c>
      <c r="L94" s="26" t="s">
        <v>2195</v>
      </c>
      <c r="M94" s="26" t="s">
        <v>1713</v>
      </c>
      <c r="N94" s="26" t="s">
        <v>1887</v>
      </c>
      <c r="O94" s="26" t="s">
        <v>2397</v>
      </c>
      <c r="P94" s="26" t="s">
        <v>617</v>
      </c>
      <c r="Q94" s="26">
        <v>72927213321</v>
      </c>
      <c r="R94" s="34">
        <v>42472</v>
      </c>
      <c r="S94" s="34">
        <v>26512</v>
      </c>
      <c r="T94" s="35">
        <v>2226854100</v>
      </c>
      <c r="U94" s="26"/>
      <c r="V94" s="26" t="s">
        <v>618</v>
      </c>
      <c r="W94" s="26"/>
      <c r="X94" s="26"/>
      <c r="Y94" s="26"/>
      <c r="Z94" s="26"/>
      <c r="AA94" s="26"/>
      <c r="AB94" s="26"/>
      <c r="AC94" s="34"/>
      <c r="AD94" s="26"/>
      <c r="AE94" s="26"/>
      <c r="AG94" s="22" t="str">
        <f t="shared" si="3"/>
        <v>EXECUTE [dbo].[PG_CI_OPERADOR] 0, 0, 0, 432, 'HERNANDEZ DÃŒAZ, MIGUEL ANGEL' , '' , 20 , 1 , 2, 2,'MIGUEL ANGEL', 'HERNANDEZ', 'DÃŒAZ' , 'HEDM720801FL9', 'HEDM720801HRRRZG09', '72927213321', 04-12-2016, '08-01-1972','2226854100','','CALLE ROSAS NÂº 12','','','','','','','01-00-1900', ,'''</v>
      </c>
      <c r="AH94" s="11"/>
    </row>
    <row r="95" spans="1:34" s="10" customFormat="1" x14ac:dyDescent="0.25">
      <c r="A95" s="18"/>
      <c r="B95" s="19">
        <v>0</v>
      </c>
      <c r="C95" s="19">
        <v>0</v>
      </c>
      <c r="D95" s="19">
        <v>0</v>
      </c>
      <c r="E95" s="28">
        <v>433</v>
      </c>
      <c r="F95" s="20" t="str">
        <f t="shared" si="2"/>
        <v xml:space="preserve">VELEZ URSUEGUIA, ALEJANDRO </v>
      </c>
      <c r="G95" s="21"/>
      <c r="H95" s="28">
        <v>20</v>
      </c>
      <c r="I95" s="28">
        <v>2</v>
      </c>
      <c r="J95" s="28">
        <v>2</v>
      </c>
      <c r="K95" s="28">
        <v>2</v>
      </c>
      <c r="L95" s="26" t="s">
        <v>2115</v>
      </c>
      <c r="M95" s="26" t="s">
        <v>1890</v>
      </c>
      <c r="N95" s="26" t="s">
        <v>1891</v>
      </c>
      <c r="O95" s="26" t="s">
        <v>2398</v>
      </c>
      <c r="P95" s="26" t="s">
        <v>623</v>
      </c>
      <c r="Q95" s="26">
        <v>48927197227</v>
      </c>
      <c r="R95" s="34">
        <v>42480</v>
      </c>
      <c r="S95" s="34">
        <v>26225</v>
      </c>
      <c r="T95" s="35" t="s">
        <v>624</v>
      </c>
      <c r="U95" s="26"/>
      <c r="V95" s="26" t="s">
        <v>625</v>
      </c>
      <c r="W95" s="26"/>
      <c r="X95" s="26"/>
      <c r="Y95" s="26"/>
      <c r="Z95" s="26"/>
      <c r="AA95" s="26"/>
      <c r="AB95" s="26"/>
      <c r="AC95" s="34"/>
      <c r="AD95" s="26"/>
      <c r="AE95" s="26"/>
      <c r="AG95" s="22" t="str">
        <f t="shared" si="3"/>
        <v>EXECUTE [dbo].[PG_CI_OPERADOR] 0, 0, 0, 433, 'VELEZ URSUEGUIA, ALEJANDRO ' , '' , 20 , 2 , 2, 2,'ALEJANDRO ', 'VELEZ', 'URSUEGUIA' , 'VEUA711019CVA', 'VEUA711019HPLLRL10', '48927197227', 04-20-2016, '10-19-1971','222 288 8697','','CALLE 11 J, 18-2, CASA HOGAR','','','','','','','01-00-1900', ,'''</v>
      </c>
      <c r="AH95" s="11"/>
    </row>
    <row r="96" spans="1:34" s="10" customFormat="1" x14ac:dyDescent="0.25">
      <c r="A96" s="18"/>
      <c r="B96" s="19">
        <v>0</v>
      </c>
      <c r="C96" s="19">
        <v>0</v>
      </c>
      <c r="D96" s="19">
        <v>0</v>
      </c>
      <c r="E96" s="28">
        <v>434</v>
      </c>
      <c r="F96" s="20" t="str">
        <f t="shared" si="2"/>
        <v xml:space="preserve">ESTRELLA LOPEZ, CARLOS </v>
      </c>
      <c r="G96" s="21"/>
      <c r="H96" s="28">
        <v>20</v>
      </c>
      <c r="I96" s="28">
        <v>1</v>
      </c>
      <c r="J96" s="28">
        <v>2</v>
      </c>
      <c r="K96" s="28">
        <v>2</v>
      </c>
      <c r="L96" s="26" t="s">
        <v>2196</v>
      </c>
      <c r="M96" s="26" t="s">
        <v>1892</v>
      </c>
      <c r="N96" s="26" t="s">
        <v>1850</v>
      </c>
      <c r="O96" s="26" t="s">
        <v>2399</v>
      </c>
      <c r="P96" s="26" t="s">
        <v>630</v>
      </c>
      <c r="Q96" s="26">
        <v>13977310344</v>
      </c>
      <c r="R96" s="34">
        <v>43442</v>
      </c>
      <c r="S96" s="34">
        <v>26900</v>
      </c>
      <c r="T96" s="35">
        <v>7731387196</v>
      </c>
      <c r="U96" s="26"/>
      <c r="V96" s="26" t="s">
        <v>631</v>
      </c>
      <c r="W96" s="26"/>
      <c r="X96" s="26"/>
      <c r="Y96" s="26"/>
      <c r="Z96" s="26"/>
      <c r="AA96" s="26"/>
      <c r="AB96" s="26"/>
      <c r="AC96" s="34"/>
      <c r="AD96" s="26"/>
      <c r="AE96" s="26"/>
      <c r="AG96" s="22" t="str">
        <f t="shared" si="3"/>
        <v>EXECUTE [dbo].[PG_CI_OPERADOR] 0, 0, 0, 434, 'ESTRELLA LOPEZ, CARLOS ' , '' , 20 , 1 , 2, 2,'CARLOS ', 'ESTRELLA', 'LOPEZ' , 'EELC730824KG3', 'EELC730824HHGSPR09', '13977310344', 12-08-2018, '08-24-1973','7731387196','','CHATCANI NÂº 1','','','','','','','01-00-1900', ,'''</v>
      </c>
      <c r="AH96" s="11"/>
    </row>
    <row r="97" spans="1:34" s="10" customFormat="1" x14ac:dyDescent="0.25">
      <c r="A97" s="18"/>
      <c r="B97" s="19">
        <v>0</v>
      </c>
      <c r="C97" s="19">
        <v>0</v>
      </c>
      <c r="D97" s="19">
        <v>0</v>
      </c>
      <c r="E97" s="28">
        <v>435</v>
      </c>
      <c r="F97" s="20" t="str">
        <f t="shared" si="2"/>
        <v xml:space="preserve">GALLARDO CRUZ, JULIAN </v>
      </c>
      <c r="G97" s="21"/>
      <c r="H97" s="28">
        <v>20</v>
      </c>
      <c r="I97" s="28">
        <v>1</v>
      </c>
      <c r="J97" s="28">
        <v>2</v>
      </c>
      <c r="K97" s="28">
        <v>2</v>
      </c>
      <c r="L97" s="26" t="s">
        <v>2197</v>
      </c>
      <c r="M97" s="26" t="s">
        <v>1893</v>
      </c>
      <c r="N97" s="26" t="s">
        <v>1699</v>
      </c>
      <c r="O97" s="26" t="s">
        <v>2400</v>
      </c>
      <c r="P97" s="26" t="s">
        <v>637</v>
      </c>
      <c r="Q97" s="26">
        <v>12958012994</v>
      </c>
      <c r="R97" s="34">
        <v>42485</v>
      </c>
      <c r="S97" s="34">
        <v>29348</v>
      </c>
      <c r="T97" s="35" t="s">
        <v>638</v>
      </c>
      <c r="U97" s="26"/>
      <c r="V97" s="26" t="s">
        <v>639</v>
      </c>
      <c r="W97" s="26"/>
      <c r="X97" s="26"/>
      <c r="Y97" s="26"/>
      <c r="Z97" s="26"/>
      <c r="AA97" s="26"/>
      <c r="AB97" s="26"/>
      <c r="AC97" s="34"/>
      <c r="AD97" s="26"/>
      <c r="AE97" s="26"/>
      <c r="AG97" s="22" t="str">
        <f t="shared" si="3"/>
        <v>EXECUTE [dbo].[PG_CI_OPERADOR] 0, 0, 0, 435, 'GALLARDO CRUZ, JULIAN ' , '' , 20 , 1 , 2, 2,'JULIAN ', 'GALLARDO', 'CRUZ' , 'GACJ800507753', 'GACJ800507HGTLRL07', '12958012994', 04-25-2016, '05-07-1980','045 429 1149270','','POTRERO DE BUENAVISTA NO. 131 C','','','','','','','01-00-1900', ,'''</v>
      </c>
      <c r="AH97" s="11"/>
    </row>
    <row r="98" spans="1:34" s="10" customFormat="1" x14ac:dyDescent="0.25">
      <c r="A98" s="18"/>
      <c r="B98" s="19">
        <v>0</v>
      </c>
      <c r="C98" s="19">
        <v>0</v>
      </c>
      <c r="D98" s="19">
        <v>0</v>
      </c>
      <c r="E98" s="28">
        <v>436</v>
      </c>
      <c r="F98" s="20" t="str">
        <f t="shared" si="2"/>
        <v>BEJARANO HERMIDA, VICTOR MANUEL</v>
      </c>
      <c r="G98" s="21"/>
      <c r="H98" s="28">
        <v>20</v>
      </c>
      <c r="I98" s="28">
        <v>1</v>
      </c>
      <c r="J98" s="28">
        <v>2</v>
      </c>
      <c r="K98" s="28">
        <v>2</v>
      </c>
      <c r="L98" s="26" t="s">
        <v>2198</v>
      </c>
      <c r="M98" s="26" t="s">
        <v>1895</v>
      </c>
      <c r="N98" s="26" t="s">
        <v>1896</v>
      </c>
      <c r="O98" s="26" t="s">
        <v>2401</v>
      </c>
      <c r="P98" s="26" t="s">
        <v>643</v>
      </c>
      <c r="Q98" s="26">
        <v>65887401902</v>
      </c>
      <c r="R98" s="34">
        <v>42485</v>
      </c>
      <c r="S98" s="34">
        <v>27028</v>
      </c>
      <c r="T98" s="35" t="s">
        <v>644</v>
      </c>
      <c r="U98" s="26"/>
      <c r="V98" s="26" t="s">
        <v>645</v>
      </c>
      <c r="W98" s="26"/>
      <c r="X98" s="26"/>
      <c r="Y98" s="26"/>
      <c r="Z98" s="26"/>
      <c r="AA98" s="26"/>
      <c r="AB98" s="26"/>
      <c r="AC98" s="34"/>
      <c r="AD98" s="26"/>
      <c r="AE98" s="26"/>
      <c r="AG98" s="22" t="str">
        <f t="shared" si="3"/>
        <v>EXECUTE [dbo].[PG_CI_OPERADOR] 0, 0, 0, 436, 'BEJARANO HERMIDA, VICTOR MANUEL' , '' , 20 , 1 , 2, 2,'VICTOR MANUEL', 'BEJARANO', 'HERMIDA' , 'BEHV731230JZA', 'BEHV731230HVZJRC02', '65887401902', 04-25-2016, '12-30-1973','045 429 1169684','','POTRERO DE LA TUNA MANZA NO. 113','','','','','','','01-00-1900', ,'''</v>
      </c>
      <c r="AH98" s="11"/>
    </row>
    <row r="99" spans="1:34" s="10" customFormat="1" x14ac:dyDescent="0.25">
      <c r="A99" s="18"/>
      <c r="B99" s="19">
        <v>0</v>
      </c>
      <c r="C99" s="19">
        <v>0</v>
      </c>
      <c r="D99" s="19">
        <v>0</v>
      </c>
      <c r="E99" s="28">
        <v>437</v>
      </c>
      <c r="F99" s="20" t="str">
        <f t="shared" si="2"/>
        <v>CASTILLO FLORES, ROBERTO OSWALDO</v>
      </c>
      <c r="G99" s="21"/>
      <c r="H99" s="28">
        <v>20</v>
      </c>
      <c r="I99" s="28">
        <v>2</v>
      </c>
      <c r="J99" s="28">
        <v>1</v>
      </c>
      <c r="K99" s="28">
        <v>2</v>
      </c>
      <c r="L99" s="26" t="s">
        <v>2199</v>
      </c>
      <c r="M99" s="26" t="s">
        <v>1745</v>
      </c>
      <c r="N99" s="26" t="s">
        <v>1705</v>
      </c>
      <c r="O99" s="26" t="s">
        <v>2402</v>
      </c>
      <c r="P99" s="26" t="s">
        <v>648</v>
      </c>
      <c r="Q99" s="26">
        <v>54008005032</v>
      </c>
      <c r="R99" s="34">
        <v>42906</v>
      </c>
      <c r="S99" s="34">
        <v>29563</v>
      </c>
      <c r="T99" s="35" t="s">
        <v>650</v>
      </c>
      <c r="U99" s="26"/>
      <c r="V99" s="26" t="s">
        <v>651</v>
      </c>
      <c r="W99" s="26"/>
      <c r="X99" s="26"/>
      <c r="Y99" s="26"/>
      <c r="Z99" s="26"/>
      <c r="AA99" s="26"/>
      <c r="AB99" s="26"/>
      <c r="AC99" s="34"/>
      <c r="AD99" s="26"/>
      <c r="AE99" s="26"/>
      <c r="AG99" s="22" t="str">
        <f t="shared" si="3"/>
        <v>EXECUTE [dbo].[PG_CI_OPERADOR] 0, 0, 0, 437, 'CASTILLO FLORES, ROBERTO OSWALDO' , '' , 20 , 2 , 1, 2,'ROBERTO OSWALDO', 'CASTILLO', 'FLORES' , 'CAFR801208CB0', 'CAFR801208HJCSLB03', '54008005032', 06-20-2017, '12-08-1980','045 341 1620123','','20 DE NOVIEMBRE 2 A','','','','','','','01-00-1900', ,'''</v>
      </c>
      <c r="AH99" s="11"/>
    </row>
    <row r="100" spans="1:34" s="10" customFormat="1" x14ac:dyDescent="0.25">
      <c r="A100" s="18"/>
      <c r="B100" s="19">
        <v>0</v>
      </c>
      <c r="C100" s="19">
        <v>0</v>
      </c>
      <c r="D100" s="19">
        <v>0</v>
      </c>
      <c r="E100" s="28">
        <v>438</v>
      </c>
      <c r="F100" s="20" t="str">
        <f t="shared" si="2"/>
        <v>MERINO VELEZ, JESUS JAVIER</v>
      </c>
      <c r="G100" s="21"/>
      <c r="H100" s="28">
        <v>20</v>
      </c>
      <c r="I100" s="28">
        <v>1</v>
      </c>
      <c r="J100" s="28">
        <v>3</v>
      </c>
      <c r="K100" s="28">
        <v>2</v>
      </c>
      <c r="L100" s="26" t="s">
        <v>2200</v>
      </c>
      <c r="M100" s="26" t="s">
        <v>1898</v>
      </c>
      <c r="N100" s="26" t="s">
        <v>1890</v>
      </c>
      <c r="O100" s="26" t="s">
        <v>2403</v>
      </c>
      <c r="P100" s="26" t="s">
        <v>656</v>
      </c>
      <c r="Q100" s="26">
        <v>2947560716</v>
      </c>
      <c r="R100" s="34">
        <v>43384</v>
      </c>
      <c r="S100" s="34">
        <v>27400</v>
      </c>
      <c r="T100" s="35" t="s">
        <v>657</v>
      </c>
      <c r="U100" s="26"/>
      <c r="V100" s="26" t="s">
        <v>658</v>
      </c>
      <c r="W100" s="26"/>
      <c r="X100" s="26"/>
      <c r="Y100" s="26"/>
      <c r="Z100" s="26"/>
      <c r="AA100" s="26"/>
      <c r="AB100" s="26"/>
      <c r="AC100" s="34"/>
      <c r="AD100" s="26"/>
      <c r="AE100" s="26"/>
      <c r="AG100" s="22" t="str">
        <f t="shared" si="3"/>
        <v>EXECUTE [dbo].[PG_CI_OPERADOR] 0, 0, 0, 438, 'MERINO VELEZ, JESUS JAVIER' , '' , 20 , 1 , 3, 2,'JESUS JAVIER', 'MERINO', 'VELEZ' , 'MEVJ750106', 'MEVJ750106HDFRLS03', '2947560716', 10-11-2018, '01-06-1975','045 222 8635988','','BLVD CENTRAL TAXQUEÃ‘A NO. 29','','','','','','','01-00-1900', ,'''</v>
      </c>
      <c r="AH100" s="11"/>
    </row>
    <row r="101" spans="1:34" s="10" customFormat="1" x14ac:dyDescent="0.25">
      <c r="A101" s="18"/>
      <c r="B101" s="19">
        <v>0</v>
      </c>
      <c r="C101" s="19">
        <v>0</v>
      </c>
      <c r="D101" s="19">
        <v>0</v>
      </c>
      <c r="E101" s="28">
        <v>439</v>
      </c>
      <c r="F101" s="20" t="str">
        <f t="shared" si="2"/>
        <v>ALVARADO CEBALLOS, LUIS ARTURO</v>
      </c>
      <c r="G101" s="21"/>
      <c r="H101" s="28">
        <v>20</v>
      </c>
      <c r="I101" s="28">
        <v>2</v>
      </c>
      <c r="J101" s="28">
        <v>2</v>
      </c>
      <c r="K101" s="28">
        <v>2</v>
      </c>
      <c r="L101" s="26" t="s">
        <v>2201</v>
      </c>
      <c r="M101" s="26" t="s">
        <v>1899</v>
      </c>
      <c r="N101" s="26" t="s">
        <v>1900</v>
      </c>
      <c r="O101" s="26" t="s">
        <v>2404</v>
      </c>
      <c r="P101" s="26" t="s">
        <v>663</v>
      </c>
      <c r="Q101" s="26">
        <v>12008147915</v>
      </c>
      <c r="R101" s="34">
        <v>42489</v>
      </c>
      <c r="S101" s="34">
        <v>29740</v>
      </c>
      <c r="T101" s="35" t="s">
        <v>664</v>
      </c>
      <c r="U101" s="26"/>
      <c r="V101" s="26" t="s">
        <v>665</v>
      </c>
      <c r="W101" s="26"/>
      <c r="X101" s="26"/>
      <c r="Y101" s="26"/>
      <c r="Z101" s="26"/>
      <c r="AA101" s="26"/>
      <c r="AB101" s="26"/>
      <c r="AC101" s="34"/>
      <c r="AD101" s="26"/>
      <c r="AE101" s="26"/>
      <c r="AG101" s="22" t="str">
        <f t="shared" si="3"/>
        <v>EXECUTE [dbo].[PG_CI_OPERADOR] 0, 0, 0, 439, 'ALVARADO CEBALLOS, LUIS ARTURO' , '' , 20 , 2 , 2, 2,'LUIS ARTURO', 'ALVARADO', 'CEBALLOS' , 'AACL810603EU1', 'AACL810603HNLLBZ03', '12008147915', 04-29-2016, '06-03-1981','045 4621009303','','ADOLFO LOPEZ MATEOS NÂº 16','','','','','','','01-00-1900', ,'''</v>
      </c>
      <c r="AH101" s="11"/>
    </row>
    <row r="102" spans="1:34" s="10" customFormat="1" x14ac:dyDescent="0.25">
      <c r="A102" s="18"/>
      <c r="B102" s="19">
        <v>0</v>
      </c>
      <c r="C102" s="19">
        <v>0</v>
      </c>
      <c r="D102" s="19">
        <v>0</v>
      </c>
      <c r="E102" s="28">
        <v>440</v>
      </c>
      <c r="F102" s="20" t="str">
        <f t="shared" si="2"/>
        <v>CUEVAS CHAVEZ, JOSE CRUZ</v>
      </c>
      <c r="G102" s="21"/>
      <c r="H102" s="28">
        <v>20</v>
      </c>
      <c r="I102" s="28">
        <v>2</v>
      </c>
      <c r="J102" s="28">
        <v>2</v>
      </c>
      <c r="K102" s="28">
        <v>2</v>
      </c>
      <c r="L102" s="26" t="s">
        <v>2202</v>
      </c>
      <c r="M102" s="26" t="s">
        <v>1901</v>
      </c>
      <c r="N102" s="26" t="s">
        <v>1754</v>
      </c>
      <c r="O102" s="26" t="s">
        <v>2405</v>
      </c>
      <c r="P102" s="26" t="s">
        <v>669</v>
      </c>
      <c r="Q102" s="26">
        <v>56977611146</v>
      </c>
      <c r="R102" s="34">
        <v>42496</v>
      </c>
      <c r="S102" s="34">
        <v>27862</v>
      </c>
      <c r="T102" s="35" t="s">
        <v>670</v>
      </c>
      <c r="U102" s="26"/>
      <c r="V102" s="26" t="s">
        <v>671</v>
      </c>
      <c r="W102" s="26"/>
      <c r="X102" s="26"/>
      <c r="Y102" s="26"/>
      <c r="Z102" s="26"/>
      <c r="AA102" s="26"/>
      <c r="AB102" s="26"/>
      <c r="AC102" s="34"/>
      <c r="AD102" s="26"/>
      <c r="AE102" s="26"/>
      <c r="AG102" s="22" t="str">
        <f t="shared" si="3"/>
        <v>EXECUTE [dbo].[PG_CI_OPERADOR] 0, 0, 0, 440, 'CUEVAS CHAVEZ, JOSE CRUZ' , '' , 20 , 2 , 2, 2,'JOSE CRUZ', 'CUEVAS', 'CHAVEZ' , 'CUCC760412RC9', 'CUCC760412HJCVHR04', '56977611146', 05-06-2016, '04-12-1976','045 3311005551','','CIRCUITO VALLE DE LAS JACARANDAS NÂº 125, MZ 7, LT 5','','','','','','','01-00-1900', ,'''</v>
      </c>
      <c r="AH102" s="11"/>
    </row>
    <row r="103" spans="1:34" s="10" customFormat="1" x14ac:dyDescent="0.25">
      <c r="A103" s="18"/>
      <c r="B103" s="19">
        <v>0</v>
      </c>
      <c r="C103" s="19">
        <v>0</v>
      </c>
      <c r="D103" s="19">
        <v>0</v>
      </c>
      <c r="E103" s="28">
        <v>441</v>
      </c>
      <c r="F103" s="20" t="str">
        <f t="shared" si="2"/>
        <v xml:space="preserve">DELGADO BERMUDEZ, ROLANDO </v>
      </c>
      <c r="G103" s="21"/>
      <c r="H103" s="28">
        <v>20</v>
      </c>
      <c r="I103" s="28">
        <v>1</v>
      </c>
      <c r="J103" s="28">
        <v>2</v>
      </c>
      <c r="K103" s="28">
        <v>2</v>
      </c>
      <c r="L103" s="26" t="s">
        <v>2203</v>
      </c>
      <c r="M103" s="26" t="s">
        <v>1902</v>
      </c>
      <c r="N103" s="26" t="s">
        <v>1903</v>
      </c>
      <c r="O103" s="26" t="s">
        <v>2406</v>
      </c>
      <c r="P103" s="26" t="s">
        <v>675</v>
      </c>
      <c r="Q103" s="26">
        <v>12947171026</v>
      </c>
      <c r="R103" s="34">
        <v>42497</v>
      </c>
      <c r="S103" s="34">
        <v>27267</v>
      </c>
      <c r="T103" s="35">
        <v>33454344</v>
      </c>
      <c r="U103" s="26"/>
      <c r="V103" s="26" t="s">
        <v>676</v>
      </c>
      <c r="W103" s="26"/>
      <c r="X103" s="26"/>
      <c r="Y103" s="26"/>
      <c r="Z103" s="26"/>
      <c r="AA103" s="26"/>
      <c r="AB103" s="26"/>
      <c r="AC103" s="34"/>
      <c r="AD103" s="26"/>
      <c r="AE103" s="26"/>
      <c r="AG103" s="22" t="str">
        <f t="shared" si="3"/>
        <v>EXECUTE [dbo].[PG_CI_OPERADOR] 0, 0, 0, 441, 'DELGADO BERMUDEZ, ROLANDO ' , '' , 20 , 1 , 2, 2,'ROLANDO ', 'DELGADO', 'BERMUDEZ' , 'DEBR740826UP7', 'DEBR740826HGTLRL02', '12947171026', 05-07-2016, '08-26-1974','33454344','','ARTES NÂº 2625','','','','','','','01-00-1900', ,'''</v>
      </c>
      <c r="AH103" s="11"/>
    </row>
    <row r="104" spans="1:34" s="10" customFormat="1" x14ac:dyDescent="0.25">
      <c r="A104" s="18"/>
      <c r="B104" s="19">
        <v>0</v>
      </c>
      <c r="C104" s="19">
        <v>0</v>
      </c>
      <c r="D104" s="19">
        <v>0</v>
      </c>
      <c r="E104" s="28">
        <v>442</v>
      </c>
      <c r="F104" s="20" t="str">
        <f t="shared" si="2"/>
        <v>CERECERO TENORIO, ISIDRO FABIAN</v>
      </c>
      <c r="G104" s="21"/>
      <c r="H104" s="28">
        <v>20</v>
      </c>
      <c r="I104" s="28">
        <v>1</v>
      </c>
      <c r="J104" s="28">
        <v>2</v>
      </c>
      <c r="K104" s="28">
        <v>2</v>
      </c>
      <c r="L104" s="26" t="s">
        <v>2204</v>
      </c>
      <c r="M104" s="26" t="s">
        <v>1905</v>
      </c>
      <c r="N104" s="26" t="s">
        <v>1906</v>
      </c>
      <c r="O104" s="26" t="s">
        <v>2407</v>
      </c>
      <c r="P104" s="26" t="s">
        <v>680</v>
      </c>
      <c r="Q104" s="26">
        <v>72947929807</v>
      </c>
      <c r="R104" s="34">
        <v>42497</v>
      </c>
      <c r="S104" s="34">
        <v>28990</v>
      </c>
      <c r="T104" s="35">
        <v>7471127761</v>
      </c>
      <c r="U104" s="26"/>
      <c r="V104" s="26" t="s">
        <v>682</v>
      </c>
      <c r="W104" s="26"/>
      <c r="X104" s="26"/>
      <c r="Y104" s="26"/>
      <c r="Z104" s="26"/>
      <c r="AA104" s="26"/>
      <c r="AB104" s="26"/>
      <c r="AC104" s="34"/>
      <c r="AD104" s="26"/>
      <c r="AE104" s="26"/>
      <c r="AG104" s="22" t="str">
        <f t="shared" si="3"/>
        <v>EXECUTE [dbo].[PG_CI_OPERADOR] 0, 0, 0, 442, 'CERECERO TENORIO, ISIDRO FABIAN' , '' , 20 , 1 , 2, 2,'ISIDRO FABIAN', 'CERECERO', 'TENORIO' , 'CETI790515ED8', 'CETI790515HGRRNS06', '72947929807', 05-07-2016, '05-15-1979','7471127761','','LOS PINOS S/N','','','','','','','01-00-1900', ,'''</v>
      </c>
      <c r="AH104" s="11"/>
    </row>
    <row r="105" spans="1:34" s="10" customFormat="1" x14ac:dyDescent="0.25">
      <c r="A105" s="18"/>
      <c r="B105" s="19">
        <v>0</v>
      </c>
      <c r="C105" s="19">
        <v>0</v>
      </c>
      <c r="D105" s="19">
        <v>0</v>
      </c>
      <c r="E105" s="28">
        <v>443</v>
      </c>
      <c r="F105" s="20" t="str">
        <f t="shared" si="2"/>
        <v xml:space="preserve">LOPEZ GARCIA, SANTOS </v>
      </c>
      <c r="G105" s="21"/>
      <c r="H105" s="28">
        <v>20</v>
      </c>
      <c r="I105" s="28">
        <v>1</v>
      </c>
      <c r="J105" s="28">
        <v>2</v>
      </c>
      <c r="K105" s="28">
        <v>2</v>
      </c>
      <c r="L105" s="26" t="s">
        <v>2205</v>
      </c>
      <c r="M105" s="26" t="s">
        <v>1850</v>
      </c>
      <c r="N105" s="26" t="s">
        <v>1773</v>
      </c>
      <c r="O105" s="26" t="s">
        <v>2408</v>
      </c>
      <c r="P105" s="26" t="s">
        <v>686</v>
      </c>
      <c r="Q105" s="26">
        <v>16897142895</v>
      </c>
      <c r="R105" s="34">
        <v>42500</v>
      </c>
      <c r="S105" s="34">
        <v>26238</v>
      </c>
      <c r="T105" s="35" t="s">
        <v>687</v>
      </c>
      <c r="U105" s="26"/>
      <c r="V105" s="26" t="s">
        <v>688</v>
      </c>
      <c r="W105" s="26"/>
      <c r="X105" s="26"/>
      <c r="Y105" s="26"/>
      <c r="Z105" s="26"/>
      <c r="AA105" s="26"/>
      <c r="AB105" s="26"/>
      <c r="AC105" s="34"/>
      <c r="AD105" s="26"/>
      <c r="AE105" s="26"/>
      <c r="AG105" s="22" t="str">
        <f t="shared" si="3"/>
        <v>EXECUTE [dbo].[PG_CI_OPERADOR] 0, 0, 0, 443, 'LOPEZ GARCIA, SANTOS ' , '' , 20 , 1 , 2, 2,'SANTOS ', 'LOPEZ', 'GARCIA' , 'LOGS7111015Y9', 'LOGS711101HMCPRN00', '16897142895', 05-10-2016, '11-01-1971','045 722 3361408','','LUIS DONALDO COLOSIO S/N','','','','','','','01-00-1900', ,'''</v>
      </c>
      <c r="AH105" s="11"/>
    </row>
    <row r="106" spans="1:34" s="10" customFormat="1" x14ac:dyDescent="0.25">
      <c r="A106" s="18"/>
      <c r="B106" s="19">
        <v>0</v>
      </c>
      <c r="C106" s="19">
        <v>0</v>
      </c>
      <c r="D106" s="19">
        <v>0</v>
      </c>
      <c r="E106" s="28">
        <v>444</v>
      </c>
      <c r="F106" s="20" t="str">
        <f t="shared" si="2"/>
        <v xml:space="preserve">MARTINEZ JUAREZ, ARMANDO </v>
      </c>
      <c r="G106" s="21"/>
      <c r="H106" s="28">
        <v>20</v>
      </c>
      <c r="I106" s="28">
        <v>1</v>
      </c>
      <c r="J106" s="28">
        <v>2</v>
      </c>
      <c r="K106" s="28">
        <v>2</v>
      </c>
      <c r="L106" s="26" t="s">
        <v>2206</v>
      </c>
      <c r="M106" s="26" t="s">
        <v>1765</v>
      </c>
      <c r="N106" s="26" t="s">
        <v>277</v>
      </c>
      <c r="O106" s="26" t="s">
        <v>2409</v>
      </c>
      <c r="P106" s="26" t="s">
        <v>693</v>
      </c>
      <c r="Q106" s="26">
        <v>12897424011</v>
      </c>
      <c r="R106" s="34">
        <v>42501</v>
      </c>
      <c r="S106" s="34">
        <v>27360</v>
      </c>
      <c r="T106" s="35" t="s">
        <v>694</v>
      </c>
      <c r="U106" s="26"/>
      <c r="V106" s="26" t="s">
        <v>695</v>
      </c>
      <c r="W106" s="26"/>
      <c r="X106" s="26"/>
      <c r="Y106" s="26"/>
      <c r="Z106" s="26"/>
      <c r="AA106" s="26"/>
      <c r="AB106" s="26"/>
      <c r="AC106" s="34"/>
      <c r="AD106" s="26"/>
      <c r="AE106" s="26"/>
      <c r="AG106" s="22" t="str">
        <f t="shared" si="3"/>
        <v>EXECUTE [dbo].[PG_CI_OPERADOR] 0, 0, 0, 444, 'MARTINEZ JUAREZ, ARMANDO ' , '' , 20 , 1 , 2, 2,'ARMANDO ', 'MARTINEZ', 'JUAREZ' , 'MAJA7411279U7', 'MAJA741127HGTRRR00', '12897424011', 05-11-2016, '11-27-1974','045 461 1523295','','CAMINO DE HERRADURA NO. 103 A','','','','','','','01-00-1900', ,'''</v>
      </c>
      <c r="AH106" s="11"/>
    </row>
    <row r="107" spans="1:34" s="10" customFormat="1" x14ac:dyDescent="0.25">
      <c r="A107" s="18"/>
      <c r="B107" s="19">
        <v>0</v>
      </c>
      <c r="C107" s="19">
        <v>0</v>
      </c>
      <c r="D107" s="19">
        <v>0</v>
      </c>
      <c r="E107" s="28">
        <v>445</v>
      </c>
      <c r="F107" s="20" t="str">
        <f t="shared" si="2"/>
        <v xml:space="preserve">MANZANAREZ ALDAY, FERNANDO </v>
      </c>
      <c r="G107" s="21"/>
      <c r="H107" s="28">
        <v>20</v>
      </c>
      <c r="I107" s="28">
        <v>1</v>
      </c>
      <c r="J107" s="28">
        <v>2</v>
      </c>
      <c r="K107" s="28">
        <v>2</v>
      </c>
      <c r="L107" s="26" t="s">
        <v>2118</v>
      </c>
      <c r="M107" s="26" t="s">
        <v>1909</v>
      </c>
      <c r="N107" s="26" t="s">
        <v>1910</v>
      </c>
      <c r="O107" s="26" t="s">
        <v>2410</v>
      </c>
      <c r="P107" s="26" t="s">
        <v>700</v>
      </c>
      <c r="Q107" s="26">
        <v>72877153790</v>
      </c>
      <c r="R107" s="34">
        <v>42447</v>
      </c>
      <c r="S107" s="34">
        <v>26034</v>
      </c>
      <c r="T107" s="35"/>
      <c r="U107" s="26"/>
      <c r="V107" s="26" t="s">
        <v>701</v>
      </c>
      <c r="W107" s="26"/>
      <c r="X107" s="26"/>
      <c r="Y107" s="26"/>
      <c r="Z107" s="26"/>
      <c r="AA107" s="26"/>
      <c r="AB107" s="26"/>
      <c r="AC107" s="34"/>
      <c r="AD107" s="26"/>
      <c r="AE107" s="26"/>
      <c r="AG107" s="22" t="str">
        <f t="shared" si="3"/>
        <v>EXECUTE [dbo].[PG_CI_OPERADOR] 0, 0, 0, 445, 'MANZANAREZ ALDAY, FERNANDO ' , '' , 20 , 1 , 2, 2,'FERNANDO ', 'MANZANAREZ', 'ALDAY' , 'MAAF710411523', 'MAAF710411HGRNLR06', '72877153790', 03-18-2016, '04-11-1971','','','C. 14, MZA. 23, LT 9','','','','','','','01-00-1900', ,'''</v>
      </c>
      <c r="AH107" s="11"/>
    </row>
    <row r="108" spans="1:34" s="10" customFormat="1" x14ac:dyDescent="0.25">
      <c r="A108" s="18"/>
      <c r="B108" s="19">
        <v>0</v>
      </c>
      <c r="C108" s="19">
        <v>0</v>
      </c>
      <c r="D108" s="19">
        <v>0</v>
      </c>
      <c r="E108" s="28">
        <v>446</v>
      </c>
      <c r="F108" s="20" t="str">
        <f t="shared" si="2"/>
        <v>MUÃ‘OZ GOMEZ, LUCIO ARTURO</v>
      </c>
      <c r="G108" s="21"/>
      <c r="H108" s="28">
        <v>17</v>
      </c>
      <c r="I108" s="28">
        <v>1</v>
      </c>
      <c r="J108" s="28">
        <v>2</v>
      </c>
      <c r="K108" s="28">
        <v>2</v>
      </c>
      <c r="L108" s="26" t="s">
        <v>2207</v>
      </c>
      <c r="M108" s="26" t="s">
        <v>1826</v>
      </c>
      <c r="N108" s="26" t="s">
        <v>1777</v>
      </c>
      <c r="O108" s="26" t="s">
        <v>706</v>
      </c>
      <c r="P108" s="26" t="s">
        <v>707</v>
      </c>
      <c r="Q108" s="26">
        <v>21877006580</v>
      </c>
      <c r="R108" s="34">
        <v>42440</v>
      </c>
      <c r="S108" s="34">
        <v>25754</v>
      </c>
      <c r="T108" s="35">
        <v>456644361015</v>
      </c>
      <c r="U108" s="26"/>
      <c r="V108" s="26" t="s">
        <v>708</v>
      </c>
      <c r="W108" s="26"/>
      <c r="X108" s="26"/>
      <c r="Y108" s="26"/>
      <c r="Z108" s="26"/>
      <c r="AA108" s="26"/>
      <c r="AB108" s="26"/>
      <c r="AC108" s="34"/>
      <c r="AD108" s="26"/>
      <c r="AE108" s="26"/>
      <c r="AG108" s="22" t="str">
        <f t="shared" si="3"/>
        <v>EXECUTE [dbo].[PG_CI_OPERADOR] 0, 0, 0, 446, 'MUÃ‘OZ GOMEZ, LUCIO ARTURO' , '' , 17 , 1 , 2, 2,'LUCIO ARTURO', 'MUÃ‘OZ', 'GOMEZ' , 'MUGL7012155V2', 'MUGL701215HDGXMC02', '21877006580', 03-11-2016, '07-05-1970','456644361015','','CALLE 6 NUM.8006','','','','','','','01-00-1900', ,'''</v>
      </c>
      <c r="AH108" s="11"/>
    </row>
    <row r="109" spans="1:34" s="10" customFormat="1" x14ac:dyDescent="0.25">
      <c r="A109" s="18"/>
      <c r="B109" s="19">
        <v>0</v>
      </c>
      <c r="C109" s="19">
        <v>0</v>
      </c>
      <c r="D109" s="19">
        <v>0</v>
      </c>
      <c r="E109" s="28">
        <v>447</v>
      </c>
      <c r="F109" s="20" t="str">
        <f t="shared" si="2"/>
        <v>NAVARRETE RUIZ, AURELIO ERNESTO</v>
      </c>
      <c r="G109" s="21"/>
      <c r="H109" s="28">
        <v>7</v>
      </c>
      <c r="I109" s="28">
        <v>1</v>
      </c>
      <c r="J109" s="28">
        <v>2</v>
      </c>
      <c r="K109" s="28">
        <v>2</v>
      </c>
      <c r="L109" s="26" t="s">
        <v>2208</v>
      </c>
      <c r="M109" s="26" t="s">
        <v>1912</v>
      </c>
      <c r="N109" s="26" t="s">
        <v>1913</v>
      </c>
      <c r="O109" s="26" t="s">
        <v>713</v>
      </c>
      <c r="P109" s="26" t="s">
        <v>714</v>
      </c>
      <c r="Q109" s="26">
        <v>24997813746</v>
      </c>
      <c r="R109" s="34">
        <v>43007</v>
      </c>
      <c r="S109" s="34">
        <v>28801</v>
      </c>
      <c r="T109" s="35">
        <v>6442064744</v>
      </c>
      <c r="U109" s="26"/>
      <c r="V109" s="26" t="s">
        <v>715</v>
      </c>
      <c r="W109" s="26"/>
      <c r="X109" s="26"/>
      <c r="Y109" s="26"/>
      <c r="Z109" s="26"/>
      <c r="AA109" s="26"/>
      <c r="AB109" s="26"/>
      <c r="AC109" s="34"/>
      <c r="AD109" s="26"/>
      <c r="AE109" s="26"/>
      <c r="AG109" s="22" t="str">
        <f t="shared" si="3"/>
        <v>EXECUTE [dbo].[PG_CI_OPERADOR] 0, 0, 0, 447, 'NAVARRETE RUIZ, AURELIO ERNESTO' , '' , 7 , 1 , 2, 2,'AURELIO ERNESTO', 'NAVARRETE', 'RUIZ' , 'NARA7811075E7', 'NARA781107HSRVZR05', '24997813746', 09-29-2017, '11-07-1978','6442064744','','HACIENDA DEL ROSARIO 2321','','','','','','','01-00-1900', ,'''</v>
      </c>
      <c r="AH109" s="11"/>
    </row>
    <row r="110" spans="1:34" s="10" customFormat="1" x14ac:dyDescent="0.25">
      <c r="A110" s="18"/>
      <c r="B110" s="19">
        <v>0</v>
      </c>
      <c r="C110" s="19">
        <v>0</v>
      </c>
      <c r="D110" s="19">
        <v>0</v>
      </c>
      <c r="E110" s="28">
        <v>448</v>
      </c>
      <c r="F110" s="20" t="str">
        <f t="shared" si="2"/>
        <v xml:space="preserve">SOTO ZARATE, JESUS </v>
      </c>
      <c r="G110" s="21"/>
      <c r="H110" s="28">
        <v>7</v>
      </c>
      <c r="I110" s="28">
        <v>1</v>
      </c>
      <c r="J110" s="28">
        <v>2</v>
      </c>
      <c r="K110" s="28">
        <v>2</v>
      </c>
      <c r="L110" s="26" t="s">
        <v>2209</v>
      </c>
      <c r="M110" s="26" t="s">
        <v>1916</v>
      </c>
      <c r="N110" s="26" t="s">
        <v>1917</v>
      </c>
      <c r="O110" s="26" t="s">
        <v>720</v>
      </c>
      <c r="P110" s="26" t="s">
        <v>721</v>
      </c>
      <c r="Q110" s="26">
        <v>24846655397</v>
      </c>
      <c r="R110" s="34">
        <v>42482</v>
      </c>
      <c r="S110" s="34">
        <v>25175</v>
      </c>
      <c r="T110" s="35">
        <v>6444623831</v>
      </c>
      <c r="U110" s="26"/>
      <c r="V110" s="26" t="s">
        <v>722</v>
      </c>
      <c r="W110" s="26"/>
      <c r="X110" s="26"/>
      <c r="Y110" s="26"/>
      <c r="Z110" s="26"/>
      <c r="AA110" s="26"/>
      <c r="AB110" s="26"/>
      <c r="AC110" s="34"/>
      <c r="AD110" s="26"/>
      <c r="AE110" s="26"/>
      <c r="AG110" s="22" t="str">
        <f t="shared" si="3"/>
        <v>EXECUTE [dbo].[PG_CI_OPERADOR] 0, 0, 0, 448, 'SOTO ZARATE, JESUS ' , '' , 7 , 1 , 2, 2,'JESUS ', 'SOTO', 'ZARATE' , 'SOZJ681203IU1', 'SOZJ681203HSRTRS07', '24846655397', 04-22-2016, '12-03-1968','6444623831','','EUCALIPTO 530','','','','','','','01-00-1900', ,'''</v>
      </c>
      <c r="AH110" s="11"/>
    </row>
    <row r="111" spans="1:34" s="10" customFormat="1" x14ac:dyDescent="0.25">
      <c r="A111" s="18"/>
      <c r="B111" s="19">
        <v>0</v>
      </c>
      <c r="C111" s="19">
        <v>0</v>
      </c>
      <c r="D111" s="19">
        <v>0</v>
      </c>
      <c r="E111" s="28">
        <v>449</v>
      </c>
      <c r="F111" s="20" t="str">
        <f t="shared" si="2"/>
        <v xml:space="preserve">ACEVEDO CAMPOS, RENE </v>
      </c>
      <c r="G111" s="21"/>
      <c r="H111" s="28">
        <v>20</v>
      </c>
      <c r="I111" s="28">
        <v>2</v>
      </c>
      <c r="J111" s="28">
        <v>2</v>
      </c>
      <c r="K111" s="28">
        <v>2</v>
      </c>
      <c r="L111" s="26" t="s">
        <v>2210</v>
      </c>
      <c r="M111" s="26" t="s">
        <v>1918</v>
      </c>
      <c r="N111" s="26" t="s">
        <v>1919</v>
      </c>
      <c r="O111" s="26" t="s">
        <v>726</v>
      </c>
      <c r="P111" s="26" t="s">
        <v>727</v>
      </c>
      <c r="Q111" s="26">
        <v>92977602652</v>
      </c>
      <c r="R111" s="34">
        <v>42580</v>
      </c>
      <c r="S111" s="34">
        <v>27815</v>
      </c>
      <c r="T111" s="35" t="s">
        <v>728</v>
      </c>
      <c r="U111" s="26"/>
      <c r="V111" s="26" t="s">
        <v>729</v>
      </c>
      <c r="W111" s="26"/>
      <c r="X111" s="26"/>
      <c r="Y111" s="26"/>
      <c r="Z111" s="26"/>
      <c r="AA111" s="26"/>
      <c r="AB111" s="26"/>
      <c r="AC111" s="34"/>
      <c r="AD111" s="26"/>
      <c r="AE111" s="26"/>
      <c r="AG111" s="22" t="str">
        <f t="shared" si="3"/>
        <v>EXECUTE [dbo].[PG_CI_OPERADOR] 0, 0, 0, 449, 'ACEVEDO CAMPOS, RENE ' , '' , 20 , 2 , 2, 2,'RENE ', 'ACEVEDO', 'CAMPOS' , 'AECR760225P80', 'AECR760225HVZCMN04', '92977602652', 07-29-2016, '02-25-1976','272 1056072','','BLV. 8 DE ENERO NO. 22','','','','','','','01-00-1900', ,'''</v>
      </c>
      <c r="AH111" s="11"/>
    </row>
    <row r="112" spans="1:34" s="10" customFormat="1" x14ac:dyDescent="0.25">
      <c r="A112" s="18"/>
      <c r="B112" s="19">
        <v>0</v>
      </c>
      <c r="C112" s="19">
        <v>0</v>
      </c>
      <c r="D112" s="19">
        <v>0</v>
      </c>
      <c r="E112" s="28">
        <v>450</v>
      </c>
      <c r="F112" s="20" t="str">
        <f t="shared" si="2"/>
        <v>ALONSO PEÃ‘A, ADOLFO GREGORIO</v>
      </c>
      <c r="G112" s="21"/>
      <c r="H112" s="28">
        <v>20</v>
      </c>
      <c r="I112" s="28">
        <v>1</v>
      </c>
      <c r="J112" s="28">
        <v>2</v>
      </c>
      <c r="K112" s="28">
        <v>2</v>
      </c>
      <c r="L112" s="26" t="s">
        <v>2211</v>
      </c>
      <c r="M112" s="26" t="s">
        <v>1921</v>
      </c>
      <c r="N112" s="26" t="s">
        <v>1922</v>
      </c>
      <c r="O112" s="26" t="s">
        <v>733</v>
      </c>
      <c r="P112" s="26" t="s">
        <v>734</v>
      </c>
      <c r="Q112" s="26">
        <v>92998055476</v>
      </c>
      <c r="R112" s="34">
        <v>42636</v>
      </c>
      <c r="S112" s="34">
        <v>29501</v>
      </c>
      <c r="T112" s="35">
        <v>25850020</v>
      </c>
      <c r="U112" s="26"/>
      <c r="V112" s="26" t="s">
        <v>735</v>
      </c>
      <c r="W112" s="26"/>
      <c r="X112" s="26"/>
      <c r="Y112" s="26"/>
      <c r="Z112" s="26"/>
      <c r="AA112" s="26"/>
      <c r="AB112" s="26"/>
      <c r="AC112" s="34"/>
      <c r="AD112" s="26"/>
      <c r="AE112" s="26"/>
      <c r="AG112" s="22" t="str">
        <f t="shared" si="3"/>
        <v>EXECUTE [dbo].[PG_CI_OPERADOR] 0, 0, 0, 450, 'ALONSO PEÃ‘A, ADOLFO GREGORIO' , '' , 20 , 1 , 2, 2,'ADOLFO GREGORIO', 'ALONSO', 'PEÃ‘A' , 'AOPA801007JK3', 'AOPA801007HDFLXD13', '92998055476', 09-23-2016, '10-07-1980','25850020','','CALLE HIGUERA MZ 13 LT 4','','','','','','','01-00-1900', ,'''</v>
      </c>
      <c r="AH112" s="11"/>
    </row>
    <row r="113" spans="1:34" s="10" customFormat="1" x14ac:dyDescent="0.25">
      <c r="A113" s="18"/>
      <c r="B113" s="19">
        <v>0</v>
      </c>
      <c r="C113" s="19">
        <v>0</v>
      </c>
      <c r="D113" s="19">
        <v>0</v>
      </c>
      <c r="E113" s="28">
        <v>451</v>
      </c>
      <c r="F113" s="20" t="str">
        <f t="shared" si="2"/>
        <v>ARCOS ESTRELLA, JOSE MANUEL</v>
      </c>
      <c r="G113" s="21"/>
      <c r="H113" s="28">
        <v>20</v>
      </c>
      <c r="I113" s="28">
        <v>1</v>
      </c>
      <c r="J113" s="28">
        <v>2</v>
      </c>
      <c r="K113" s="28">
        <v>2</v>
      </c>
      <c r="L113" s="26" t="s">
        <v>2126</v>
      </c>
      <c r="M113" s="26" t="s">
        <v>1925</v>
      </c>
      <c r="N113" s="26" t="s">
        <v>1892</v>
      </c>
      <c r="O113" s="26" t="s">
        <v>738</v>
      </c>
      <c r="P113" s="26" t="s">
        <v>739</v>
      </c>
      <c r="Q113" s="26">
        <v>15967203926</v>
      </c>
      <c r="R113" s="34">
        <v>42636</v>
      </c>
      <c r="S113" s="34">
        <v>26646</v>
      </c>
      <c r="T113" s="35" t="s">
        <v>740</v>
      </c>
      <c r="U113" s="26"/>
      <c r="V113" s="26" t="s">
        <v>741</v>
      </c>
      <c r="W113" s="26"/>
      <c r="X113" s="26"/>
      <c r="Y113" s="26"/>
      <c r="Z113" s="26"/>
      <c r="AA113" s="26"/>
      <c r="AB113" s="26"/>
      <c r="AC113" s="34"/>
      <c r="AD113" s="26"/>
      <c r="AE113" s="26"/>
      <c r="AG113" s="22" t="str">
        <f t="shared" si="3"/>
        <v>EXECUTE [dbo].[PG_CI_OPERADOR] 0, 0, 0, 451, 'ARCOS ESTRELLA, JOSE MANUEL' , '' , 20 , 1 , 2, 2,'JOSE MANUEL', 'ARCOS', 'ESTRELLA' , 'AOEM721213JZ8', 'AOEM721213HDFRSN04', '15967203926', 09-23-2016, '12-13-1972','55 14246077','','VASCONCELOS MZ 217, LT5','','','','','','','01-00-1900', ,'''</v>
      </c>
      <c r="AH113" s="11"/>
    </row>
    <row r="114" spans="1:34" s="10" customFormat="1" x14ac:dyDescent="0.25">
      <c r="A114" s="18"/>
      <c r="B114" s="19">
        <v>0</v>
      </c>
      <c r="C114" s="19">
        <v>0</v>
      </c>
      <c r="D114" s="19">
        <v>0</v>
      </c>
      <c r="E114" s="28">
        <v>452</v>
      </c>
      <c r="F114" s="20" t="str">
        <f t="shared" si="2"/>
        <v>ARIAS ROJAS, FRANCISCO JAVIER</v>
      </c>
      <c r="G114" s="21"/>
      <c r="H114" s="28">
        <v>20</v>
      </c>
      <c r="I114" s="28">
        <v>2</v>
      </c>
      <c r="J114" s="28">
        <v>3</v>
      </c>
      <c r="K114" s="28">
        <v>2</v>
      </c>
      <c r="L114" s="26" t="s">
        <v>2161</v>
      </c>
      <c r="M114" s="26" t="s">
        <v>1926</v>
      </c>
      <c r="N114" s="26" t="s">
        <v>1853</v>
      </c>
      <c r="O114" s="26" t="s">
        <v>745</v>
      </c>
      <c r="P114" s="26" t="s">
        <v>746</v>
      </c>
      <c r="Q114" s="26">
        <v>72068521326</v>
      </c>
      <c r="R114" s="34">
        <v>42437</v>
      </c>
      <c r="S114" s="34">
        <v>31256</v>
      </c>
      <c r="T114" s="35" t="s">
        <v>747</v>
      </c>
      <c r="U114" s="26"/>
      <c r="V114" s="26" t="s">
        <v>748</v>
      </c>
      <c r="W114" s="26"/>
      <c r="X114" s="26"/>
      <c r="Y114" s="26"/>
      <c r="Z114" s="26"/>
      <c r="AA114" s="26"/>
      <c r="AB114" s="26"/>
      <c r="AC114" s="34"/>
      <c r="AD114" s="26"/>
      <c r="AE114" s="26"/>
      <c r="AG114" s="22" t="str">
        <f t="shared" si="3"/>
        <v>EXECUTE [dbo].[PG_CI_OPERADOR] 0, 0, 0, 452, 'ARIAS ROJAS, FRANCISCO JAVIER' , '' , 20 , 2 , 3, 2,'FRANCISCO JAVIER', 'ARIAS', 'ROJAS' , 'AIRF8507289V9', 'AIRF850728HGRRJR09', '72068521326', 03-08-2016, '07-28-1985','753 1205341','','DORADO 27','','','','','','','01-00-1900', ,'''</v>
      </c>
      <c r="AH114" s="11"/>
    </row>
    <row r="115" spans="1:34" s="10" customFormat="1" x14ac:dyDescent="0.25">
      <c r="A115" s="18"/>
      <c r="B115" s="19">
        <v>0</v>
      </c>
      <c r="C115" s="19">
        <v>0</v>
      </c>
      <c r="D115" s="19">
        <v>0</v>
      </c>
      <c r="E115" s="28">
        <v>453</v>
      </c>
      <c r="F115" s="20" t="str">
        <f t="shared" si="2"/>
        <v xml:space="preserve">AYALA RIVERO, NOE </v>
      </c>
      <c r="G115" s="21"/>
      <c r="H115" s="28">
        <v>20</v>
      </c>
      <c r="I115" s="28">
        <v>2</v>
      </c>
      <c r="J115" s="28">
        <v>2</v>
      </c>
      <c r="K115" s="28">
        <v>2</v>
      </c>
      <c r="L115" s="26" t="s">
        <v>2212</v>
      </c>
      <c r="M115" s="26" t="s">
        <v>1720</v>
      </c>
      <c r="N115" s="26" t="s">
        <v>1927</v>
      </c>
      <c r="O115" s="26" t="s">
        <v>751</v>
      </c>
      <c r="P115" s="26" t="s">
        <v>752</v>
      </c>
      <c r="Q115" s="26">
        <v>92907131459</v>
      </c>
      <c r="R115" s="34">
        <v>42675</v>
      </c>
      <c r="S115" s="34">
        <v>25967</v>
      </c>
      <c r="T115" s="35" t="s">
        <v>753</v>
      </c>
      <c r="U115" s="26"/>
      <c r="V115" s="26" t="s">
        <v>754</v>
      </c>
      <c r="W115" s="26"/>
      <c r="X115" s="26"/>
      <c r="Y115" s="26"/>
      <c r="Z115" s="26"/>
      <c r="AA115" s="26"/>
      <c r="AB115" s="26"/>
      <c r="AC115" s="34"/>
      <c r="AD115" s="26"/>
      <c r="AE115" s="26"/>
      <c r="AG115" s="22" t="str">
        <f t="shared" si="3"/>
        <v>EXECUTE [dbo].[PG_CI_OPERADOR] 0, 0, 0, 453, 'AYALA RIVERO, NOE ' , '' , 20 , 2 , 2, 2,'NOE ', 'AYALA', 'RIVERO' , 'AARN710203T22', 'AARN710203HDFYVX05', '92907131459', 11-01-2016, '02-03-1971','55 32367357','','CALLE ENCINO EDIF. B1 INT. 102','','','','','','','01-00-1900', ,'''</v>
      </c>
      <c r="AH115" s="11"/>
    </row>
    <row r="116" spans="1:34" s="10" customFormat="1" x14ac:dyDescent="0.25">
      <c r="A116" s="18"/>
      <c r="B116" s="19">
        <v>0</v>
      </c>
      <c r="C116" s="19">
        <v>0</v>
      </c>
      <c r="D116" s="19">
        <v>0</v>
      </c>
      <c r="E116" s="28">
        <v>454</v>
      </c>
      <c r="F116" s="20" t="str">
        <f t="shared" si="2"/>
        <v xml:space="preserve">BARCENAS VELAZQUEZ, ALBERTO </v>
      </c>
      <c r="G116" s="21"/>
      <c r="H116" s="28">
        <v>20</v>
      </c>
      <c r="I116" s="28">
        <v>1</v>
      </c>
      <c r="J116" s="28">
        <v>2</v>
      </c>
      <c r="K116" s="28">
        <v>2</v>
      </c>
      <c r="L116" s="26" t="s">
        <v>2169</v>
      </c>
      <c r="M116" s="26" t="s">
        <v>1929</v>
      </c>
      <c r="N116" s="26" t="s">
        <v>1870</v>
      </c>
      <c r="O116" s="26" t="s">
        <v>758</v>
      </c>
      <c r="P116" s="26" t="s">
        <v>759</v>
      </c>
      <c r="Q116" s="26">
        <v>92937590807</v>
      </c>
      <c r="R116" s="34">
        <v>42492</v>
      </c>
      <c r="S116" s="34">
        <v>27856</v>
      </c>
      <c r="T116" s="35" t="s">
        <v>760</v>
      </c>
      <c r="U116" s="26"/>
      <c r="V116" s="26" t="s">
        <v>761</v>
      </c>
      <c r="W116" s="26"/>
      <c r="X116" s="26"/>
      <c r="Y116" s="26"/>
      <c r="Z116" s="26"/>
      <c r="AA116" s="26"/>
      <c r="AB116" s="26"/>
      <c r="AC116" s="34"/>
      <c r="AD116" s="26"/>
      <c r="AE116" s="26"/>
      <c r="AG116" s="22" t="str">
        <f t="shared" si="3"/>
        <v>EXECUTE [dbo].[PG_CI_OPERADOR] 0, 0, 0, 454, 'BARCENAS VELAZQUEZ, ALBERTO ' , '' , 20 , 1 , 2, 2,'ALBERTO ', 'BARCENAS', 'VELAZQUEZ' , 'BAVA760406GG3', 'BAVA760406HGTRLL01', '92937590807', 05-02-2016, '04-06-1976','55 33751015','','CAM A LA PRESA NO. 52','','','','','','','01-00-1900', ,'''</v>
      </c>
      <c r="AH116" s="11"/>
    </row>
    <row r="117" spans="1:34" s="10" customFormat="1" x14ac:dyDescent="0.25">
      <c r="A117" s="18"/>
      <c r="B117" s="19">
        <v>0</v>
      </c>
      <c r="C117" s="19">
        <v>0</v>
      </c>
      <c r="D117" s="19">
        <v>0</v>
      </c>
      <c r="E117" s="28">
        <v>455</v>
      </c>
      <c r="F117" s="20" t="str">
        <f t="shared" si="2"/>
        <v xml:space="preserve">BARRERA CORTEZ, OSCAR </v>
      </c>
      <c r="G117" s="21"/>
      <c r="H117" s="28">
        <v>20</v>
      </c>
      <c r="I117" s="28">
        <v>2</v>
      </c>
      <c r="J117" s="28">
        <v>3</v>
      </c>
      <c r="K117" s="28">
        <v>2</v>
      </c>
      <c r="L117" s="26" t="s">
        <v>2125</v>
      </c>
      <c r="M117" s="26" t="s">
        <v>1930</v>
      </c>
      <c r="N117" s="26" t="s">
        <v>1931</v>
      </c>
      <c r="O117" s="26" t="s">
        <v>765</v>
      </c>
      <c r="P117" s="26" t="s">
        <v>766</v>
      </c>
      <c r="Q117" s="26">
        <v>67906515100</v>
      </c>
      <c r="R117" s="34">
        <v>42488</v>
      </c>
      <c r="S117" s="34">
        <v>23988</v>
      </c>
      <c r="T117" s="35" t="s">
        <v>767</v>
      </c>
      <c r="U117" s="26"/>
      <c r="V117" s="26" t="s">
        <v>768</v>
      </c>
      <c r="W117" s="26"/>
      <c r="X117" s="26"/>
      <c r="Y117" s="26"/>
      <c r="Z117" s="26"/>
      <c r="AA117" s="26"/>
      <c r="AB117" s="26"/>
      <c r="AC117" s="34"/>
      <c r="AD117" s="26"/>
      <c r="AE117" s="26"/>
      <c r="AG117" s="22" t="str">
        <f t="shared" si="3"/>
        <v>EXECUTE [dbo].[PG_CI_OPERADOR] 0, 0, 0, 455, 'BARRERA CORTEZ, OSCAR ' , '' , 20 , 2 , 3, 2,'OSCAR ', 'BARRERA', 'CORTEZ' , 'BACO650903RA4', 'BACO650903HVZRRS05', '67906515100', 04-28-2016, '09-03-1965','288 1254315','','CORREGIDORA SUR NO. 405','','','','','','','01-00-1900', ,'''</v>
      </c>
      <c r="AH117" s="11"/>
    </row>
    <row r="118" spans="1:34" s="10" customFormat="1" x14ac:dyDescent="0.25">
      <c r="A118" s="18"/>
      <c r="B118" s="19">
        <v>0</v>
      </c>
      <c r="C118" s="19">
        <v>0</v>
      </c>
      <c r="D118" s="19">
        <v>0</v>
      </c>
      <c r="E118" s="28">
        <v>457</v>
      </c>
      <c r="F118" s="20" t="str">
        <f t="shared" si="2"/>
        <v xml:space="preserve">CARMONA GIL, FERNANDO </v>
      </c>
      <c r="G118" s="21"/>
      <c r="H118" s="28">
        <v>20</v>
      </c>
      <c r="I118" s="28">
        <v>1</v>
      </c>
      <c r="J118" s="28">
        <v>2</v>
      </c>
      <c r="K118" s="28">
        <v>2</v>
      </c>
      <c r="L118" s="26" t="s">
        <v>2118</v>
      </c>
      <c r="M118" s="26" t="s">
        <v>1932</v>
      </c>
      <c r="N118" s="26" t="s">
        <v>1933</v>
      </c>
      <c r="O118" s="26" t="s">
        <v>772</v>
      </c>
      <c r="P118" s="26" t="s">
        <v>773</v>
      </c>
      <c r="Q118" s="26">
        <v>33897296670</v>
      </c>
      <c r="R118" s="34">
        <v>42522</v>
      </c>
      <c r="S118" s="34">
        <v>26314</v>
      </c>
      <c r="T118" s="35" t="s">
        <v>774</v>
      </c>
      <c r="U118" s="26"/>
      <c r="V118" s="26" t="s">
        <v>775</v>
      </c>
      <c r="W118" s="26"/>
      <c r="X118" s="26"/>
      <c r="Y118" s="26"/>
      <c r="Z118" s="26"/>
      <c r="AA118" s="26"/>
      <c r="AB118" s="26"/>
      <c r="AC118" s="34"/>
      <c r="AD118" s="26"/>
      <c r="AE118" s="26"/>
      <c r="AG118" s="22" t="str">
        <f t="shared" si="3"/>
        <v>EXECUTE [dbo].[PG_CI_OPERADOR] 0, 0, 0, 457, 'CARMONA GIL, FERNANDO ' , '' , 20 , 1 , 2, 2,'FERNANDO ', 'CARMONA', 'GIL' , 'CAGF720116972', 'CAFG720116HCHRLR04', '33897296670', 06-01-2016, '01-16-1972','55 23654336','','AV. CUAUHTEMOC NO. 37','','','','','','','01-00-1900', ,'''</v>
      </c>
      <c r="AH118" s="11"/>
    </row>
    <row r="119" spans="1:34" s="10" customFormat="1" x14ac:dyDescent="0.25">
      <c r="A119" s="18"/>
      <c r="B119" s="19">
        <v>0</v>
      </c>
      <c r="C119" s="19">
        <v>0</v>
      </c>
      <c r="D119" s="19">
        <v>0</v>
      </c>
      <c r="E119" s="28">
        <v>458</v>
      </c>
      <c r="F119" s="20" t="str">
        <f t="shared" si="2"/>
        <v xml:space="preserve">CIPRIANO MORALES, FRANCISCO </v>
      </c>
      <c r="G119" s="21"/>
      <c r="H119" s="28">
        <v>20</v>
      </c>
      <c r="I119" s="28">
        <v>2</v>
      </c>
      <c r="J119" s="28">
        <v>2</v>
      </c>
      <c r="K119" s="28">
        <v>2</v>
      </c>
      <c r="L119" s="26" t="s">
        <v>2213</v>
      </c>
      <c r="M119" s="26" t="s">
        <v>1934</v>
      </c>
      <c r="N119" s="26" t="s">
        <v>1822</v>
      </c>
      <c r="O119" s="26" t="s">
        <v>778</v>
      </c>
      <c r="P119" s="26" t="s">
        <v>779</v>
      </c>
      <c r="Q119" s="26">
        <v>92917404763</v>
      </c>
      <c r="R119" s="34">
        <v>42440</v>
      </c>
      <c r="S119" s="34">
        <v>27235</v>
      </c>
      <c r="T119" s="35" t="s">
        <v>780</v>
      </c>
      <c r="U119" s="26"/>
      <c r="V119" s="26" t="s">
        <v>781</v>
      </c>
      <c r="W119" s="26"/>
      <c r="X119" s="26"/>
      <c r="Y119" s="26"/>
      <c r="Z119" s="26"/>
      <c r="AA119" s="26"/>
      <c r="AB119" s="26"/>
      <c r="AC119" s="34"/>
      <c r="AD119" s="26"/>
      <c r="AE119" s="26"/>
      <c r="AG119" s="22" t="str">
        <f t="shared" si="3"/>
        <v>EXECUTE [dbo].[PG_CI_OPERADOR] 0, 0, 0, 458, 'CIPRIANO MORALES, FRANCISCO ' , '' , 20 , 2 , 2, 2,'FRANCISCO ', 'CIPRIANO', 'MORALES' , 'CIMF740725LB7', 'CIMF740725HMCPRR01', '92917404763', 03-11-2016, '07-25-1974','65781594, 53907118','','CHIMALPOPOCA MZ 423 LT 5','','','','','','','01-00-1900', ,'''</v>
      </c>
      <c r="AH119" s="11"/>
    </row>
    <row r="120" spans="1:34" s="10" customFormat="1" x14ac:dyDescent="0.25">
      <c r="A120" s="18"/>
      <c r="B120" s="19">
        <v>0</v>
      </c>
      <c r="C120" s="19">
        <v>0</v>
      </c>
      <c r="D120" s="19">
        <v>0</v>
      </c>
      <c r="E120" s="28">
        <v>459</v>
      </c>
      <c r="F120" s="20" t="str">
        <f t="shared" si="2"/>
        <v>CONTRERAS NAJERA, LUIS ALEXANDER</v>
      </c>
      <c r="G120" s="21"/>
      <c r="H120" s="28">
        <v>20</v>
      </c>
      <c r="I120" s="28">
        <v>1</v>
      </c>
      <c r="J120" s="28">
        <v>2</v>
      </c>
      <c r="K120" s="28">
        <v>2</v>
      </c>
      <c r="L120" s="26" t="s">
        <v>2214</v>
      </c>
      <c r="M120" s="26" t="s">
        <v>1935</v>
      </c>
      <c r="N120" s="26" t="s">
        <v>1936</v>
      </c>
      <c r="O120" s="26" t="s">
        <v>784</v>
      </c>
      <c r="P120" s="26" t="s">
        <v>785</v>
      </c>
      <c r="Q120" s="26">
        <v>83978137327</v>
      </c>
      <c r="R120" s="34">
        <v>42483</v>
      </c>
      <c r="S120" s="34">
        <v>29720</v>
      </c>
      <c r="T120" s="35" t="s">
        <v>786</v>
      </c>
      <c r="U120" s="26"/>
      <c r="V120" s="26" t="s">
        <v>787</v>
      </c>
      <c r="W120" s="26"/>
      <c r="X120" s="26"/>
      <c r="Y120" s="26"/>
      <c r="Z120" s="26"/>
      <c r="AA120" s="26"/>
      <c r="AB120" s="26"/>
      <c r="AC120" s="34"/>
      <c r="AD120" s="26"/>
      <c r="AE120" s="26"/>
      <c r="AG120" s="22" t="str">
        <f t="shared" si="3"/>
        <v>EXECUTE [dbo].[PG_CI_OPERADOR] 0, 0, 0, 459, 'CONTRERAS NAJERA, LUIS ALEXANDER' , '' , 20 , 1 , 2, 2,'LUIS ALEXANDER', 'CONTRERAS', 'NAJERA' , 'CONL810514TB4', 'CONL810514HTCNJS04', '83978137327', 04-23-2016, '05-14-1981','993 1996712','','COMALCALCO MZ 12 LT 8','','','','','','','01-00-1900', ,'''</v>
      </c>
      <c r="AH120" s="11"/>
    </row>
    <row r="121" spans="1:34" s="10" customFormat="1" x14ac:dyDescent="0.25">
      <c r="A121" s="18"/>
      <c r="B121" s="19">
        <v>0</v>
      </c>
      <c r="C121" s="19">
        <v>0</v>
      </c>
      <c r="D121" s="19">
        <v>0</v>
      </c>
      <c r="E121" s="28">
        <v>460</v>
      </c>
      <c r="F121" s="20" t="str">
        <f t="shared" si="2"/>
        <v xml:space="preserve">DIAZ PEREZ, AARON </v>
      </c>
      <c r="G121" s="21"/>
      <c r="H121" s="28">
        <v>20</v>
      </c>
      <c r="I121" s="28">
        <v>1</v>
      </c>
      <c r="J121" s="28">
        <v>2</v>
      </c>
      <c r="K121" s="28">
        <v>2</v>
      </c>
      <c r="L121" s="26" t="s">
        <v>2215</v>
      </c>
      <c r="M121" s="26" t="s">
        <v>1739</v>
      </c>
      <c r="N121" s="26" t="s">
        <v>1838</v>
      </c>
      <c r="O121" s="26" t="s">
        <v>790</v>
      </c>
      <c r="P121" s="26" t="s">
        <v>791</v>
      </c>
      <c r="Q121" s="26">
        <v>19148539950</v>
      </c>
      <c r="R121" s="34">
        <v>42427</v>
      </c>
      <c r="S121" s="34">
        <v>31126</v>
      </c>
      <c r="T121" s="35">
        <v>49891134</v>
      </c>
      <c r="U121" s="26"/>
      <c r="V121" s="26" t="s">
        <v>792</v>
      </c>
      <c r="W121" s="26"/>
      <c r="X121" s="26"/>
      <c r="Y121" s="26"/>
      <c r="Z121" s="26"/>
      <c r="AA121" s="26"/>
      <c r="AB121" s="26"/>
      <c r="AC121" s="34"/>
      <c r="AD121" s="26"/>
      <c r="AE121" s="26"/>
      <c r="AG121" s="22" t="str">
        <f t="shared" si="3"/>
        <v>EXECUTE [dbo].[PG_CI_OPERADOR] 0, 0, 0, 460, 'DIAZ PEREZ, AARON ' , '' , 20 , 1 , 2, 2,'AARON ', 'DIAZ', 'PEREZ' , 'DIPA8503202G8', 'DIPA850320HMCZRR06', '19148539950', 02-27-2016, '03-20-1985','49891134','','1RA CDA. GUERRERO S/N','','','','','','','01-00-1900', ,'''</v>
      </c>
      <c r="AH121" s="11"/>
    </row>
    <row r="122" spans="1:34" s="10" customFormat="1" x14ac:dyDescent="0.25">
      <c r="A122" s="18"/>
      <c r="B122" s="19">
        <v>0</v>
      </c>
      <c r="C122" s="19">
        <v>0</v>
      </c>
      <c r="D122" s="19">
        <v>0</v>
      </c>
      <c r="E122" s="28">
        <v>461</v>
      </c>
      <c r="F122" s="20" t="str">
        <f t="shared" si="2"/>
        <v xml:space="preserve">DUARTE IGLESIAS, SALVADOR </v>
      </c>
      <c r="G122" s="21"/>
      <c r="H122" s="28">
        <v>20</v>
      </c>
      <c r="I122" s="28">
        <v>2</v>
      </c>
      <c r="J122" s="28">
        <v>2</v>
      </c>
      <c r="K122" s="28">
        <v>2</v>
      </c>
      <c r="L122" s="26" t="s">
        <v>2133</v>
      </c>
      <c r="M122" s="26" t="s">
        <v>1939</v>
      </c>
      <c r="N122" s="26" t="s">
        <v>1940</v>
      </c>
      <c r="O122" s="26" t="s">
        <v>795</v>
      </c>
      <c r="P122" s="26" t="s">
        <v>796</v>
      </c>
      <c r="Q122" s="26">
        <v>65957733564</v>
      </c>
      <c r="R122" s="34">
        <v>42529</v>
      </c>
      <c r="S122" s="34">
        <v>28277</v>
      </c>
      <c r="T122" s="35" t="s">
        <v>797</v>
      </c>
      <c r="U122" s="26"/>
      <c r="V122" s="26" t="s">
        <v>798</v>
      </c>
      <c r="W122" s="26"/>
      <c r="X122" s="26"/>
      <c r="Y122" s="26"/>
      <c r="Z122" s="26"/>
      <c r="AA122" s="26"/>
      <c r="AB122" s="26"/>
      <c r="AC122" s="34"/>
      <c r="AD122" s="26"/>
      <c r="AE122" s="26"/>
      <c r="AG122" s="22" t="str">
        <f t="shared" si="3"/>
        <v>EXECUTE [dbo].[PG_CI_OPERADOR] 0, 0, 0, 461, 'DUARTE IGLESIAS, SALVADOR ' , '' , 20 , 2 , 2, 2,'SALVADOR ', 'DUARTE', 'IGLESIAS' , 'DUIS770601LB3', 'DUIS770601HVZRGL09', '65957733564', 06-08-2016, '06-01-1977','229 2328892','','BOSQUES DE PINO NO. 48','','','','','','','01-00-1900', ,'''</v>
      </c>
      <c r="AH122" s="11"/>
    </row>
    <row r="123" spans="1:34" s="10" customFormat="1" x14ac:dyDescent="0.25">
      <c r="A123" s="18"/>
      <c r="B123" s="19">
        <v>0</v>
      </c>
      <c r="C123" s="19">
        <v>0</v>
      </c>
      <c r="D123" s="19">
        <v>0</v>
      </c>
      <c r="E123" s="28">
        <v>462</v>
      </c>
      <c r="F123" s="20" t="str">
        <f t="shared" si="2"/>
        <v>GARATACHIA HERNANDEZ, JOSE ANTONIO</v>
      </c>
      <c r="G123" s="21"/>
      <c r="H123" s="28">
        <v>20</v>
      </c>
      <c r="I123" s="28">
        <v>2</v>
      </c>
      <c r="J123" s="28">
        <v>3</v>
      </c>
      <c r="K123" s="28">
        <v>2</v>
      </c>
      <c r="L123" s="26" t="s">
        <v>2216</v>
      </c>
      <c r="M123" s="26" t="s">
        <v>1941</v>
      </c>
      <c r="N123" s="26" t="s">
        <v>1713</v>
      </c>
      <c r="O123" s="26" t="s">
        <v>801</v>
      </c>
      <c r="P123" s="26" t="s">
        <v>2310</v>
      </c>
      <c r="Q123" s="26">
        <v>16987823131</v>
      </c>
      <c r="R123" s="34">
        <v>42527</v>
      </c>
      <c r="S123" s="34">
        <v>28607</v>
      </c>
      <c r="T123" s="35" t="s">
        <v>803</v>
      </c>
      <c r="U123" s="26"/>
      <c r="V123" s="26" t="s">
        <v>804</v>
      </c>
      <c r="W123" s="26"/>
      <c r="X123" s="26"/>
      <c r="Y123" s="26"/>
      <c r="Z123" s="26"/>
      <c r="AA123" s="26"/>
      <c r="AB123" s="26"/>
      <c r="AC123" s="34"/>
      <c r="AD123" s="26"/>
      <c r="AE123" s="26"/>
      <c r="AG123" s="22" t="str">
        <f t="shared" si="3"/>
        <v>EXECUTE [dbo].[PG_CI_OPERADOR] 0, 0, 0, 462, 'GARATACHIA HERNANDEZ, JOSE ANTONIO' , '' , 20 , 2 , 3, 2,'JOSE ANTONIO', 'GARATACHIA', 'HERNANDEZ' , 'GAHA7804278Z1', 'GAHA780427HMCRRN08', '16987823131', 06-06-2016, '04-27-1978','722 1864490','','SIN NOMBRE, S/N,','','','','','','','01-00-1900', ,'''</v>
      </c>
      <c r="AH123" s="11"/>
    </row>
    <row r="124" spans="1:34" s="10" customFormat="1" x14ac:dyDescent="0.25">
      <c r="A124" s="18"/>
      <c r="B124" s="19">
        <v>0</v>
      </c>
      <c r="C124" s="19">
        <v>0</v>
      </c>
      <c r="D124" s="19">
        <v>0</v>
      </c>
      <c r="E124" s="28">
        <v>463</v>
      </c>
      <c r="F124" s="20" t="str">
        <f t="shared" si="2"/>
        <v xml:space="preserve">GAYTAN HURTADO, ANGEL </v>
      </c>
      <c r="G124" s="21"/>
      <c r="H124" s="28">
        <v>20</v>
      </c>
      <c r="I124" s="28">
        <v>2</v>
      </c>
      <c r="J124" s="28">
        <v>2</v>
      </c>
      <c r="K124" s="28">
        <v>2</v>
      </c>
      <c r="L124" s="26" t="s">
        <v>2217</v>
      </c>
      <c r="M124" s="26" t="s">
        <v>1942</v>
      </c>
      <c r="N124" s="26" t="s">
        <v>1943</v>
      </c>
      <c r="O124" s="26" t="s">
        <v>808</v>
      </c>
      <c r="P124" s="26" t="s">
        <v>809</v>
      </c>
      <c r="Q124" s="26">
        <v>20947301261</v>
      </c>
      <c r="R124" s="34">
        <v>42412</v>
      </c>
      <c r="S124" s="34">
        <v>26908</v>
      </c>
      <c r="T124" s="35" t="s">
        <v>810</v>
      </c>
      <c r="U124" s="26"/>
      <c r="V124" s="26" t="s">
        <v>811</v>
      </c>
      <c r="W124" s="26"/>
      <c r="X124" s="26"/>
      <c r="Y124" s="26"/>
      <c r="Z124" s="26"/>
      <c r="AA124" s="26"/>
      <c r="AB124" s="26"/>
      <c r="AC124" s="34"/>
      <c r="AD124" s="26"/>
      <c r="AE124" s="26"/>
      <c r="AG124" s="22" t="str">
        <f t="shared" si="3"/>
        <v>EXECUTE [dbo].[PG_CI_OPERADOR] 0, 0, 0, 463, 'GAYTAN HURTADO, ANGEL ' , '' , 20 , 2 , 2, 2,'ANGEL ', 'GAYTAN', 'HURTADO' , 'GAHA730901AW2', 'GAHA730901HDFYRN02', '20947301261', 02-12-2016, '09-01-1973','55 33221827','','AVENIDA VICENTE GUERRERO, SIN NUMERO','','','','','','','01-00-1900', ,'''</v>
      </c>
      <c r="AH124" s="11"/>
    </row>
    <row r="125" spans="1:34" s="10" customFormat="1" x14ac:dyDescent="0.25">
      <c r="A125" s="18"/>
      <c r="B125" s="19">
        <v>0</v>
      </c>
      <c r="C125" s="19">
        <v>0</v>
      </c>
      <c r="D125" s="19">
        <v>0</v>
      </c>
      <c r="E125" s="28">
        <v>464</v>
      </c>
      <c r="F125" s="20" t="str">
        <f t="shared" si="2"/>
        <v xml:space="preserve">GUTIERREZ ESQUIVEL, OMAR </v>
      </c>
      <c r="G125" s="21"/>
      <c r="H125" s="28">
        <v>20</v>
      </c>
      <c r="I125" s="28">
        <v>2</v>
      </c>
      <c r="J125" s="28">
        <v>1</v>
      </c>
      <c r="K125" s="28">
        <v>2</v>
      </c>
      <c r="L125" s="26" t="s">
        <v>2218</v>
      </c>
      <c r="M125" s="26" t="s">
        <v>1783</v>
      </c>
      <c r="N125" s="26" t="s">
        <v>1944</v>
      </c>
      <c r="O125" s="26" t="s">
        <v>815</v>
      </c>
      <c r="P125" s="26" t="s">
        <v>816</v>
      </c>
      <c r="Q125" s="26">
        <v>16058607140</v>
      </c>
      <c r="R125" s="34">
        <v>43077</v>
      </c>
      <c r="S125" s="34">
        <v>31736</v>
      </c>
      <c r="T125" s="35" t="s">
        <v>817</v>
      </c>
      <c r="U125" s="26"/>
      <c r="V125" s="26" t="s">
        <v>818</v>
      </c>
      <c r="W125" s="26"/>
      <c r="X125" s="26"/>
      <c r="Y125" s="26"/>
      <c r="Z125" s="26"/>
      <c r="AA125" s="26"/>
      <c r="AB125" s="26"/>
      <c r="AC125" s="34"/>
      <c r="AD125" s="26"/>
      <c r="AE125" s="26"/>
      <c r="AG125" s="22" t="str">
        <f t="shared" si="3"/>
        <v>EXECUTE [dbo].[PG_CI_OPERADOR] 0, 0, 0, 464, 'GUTIERREZ ESQUIVEL, OMAR ' , '' , 20 , 2 , 1, 2,'OMAR ', 'GUTIERREZ', 'ESQUIVEL' , 'GUEO8611206MA', 'GUEO861120HMCTSM09', '16058607140', 12-08-2017, '11-20-1986','045 4432524903','','NIÃ‘OS HEROES SN','','','','','','','01-00-1900', ,'''</v>
      </c>
      <c r="AH125" s="11"/>
    </row>
    <row r="126" spans="1:34" s="10" customFormat="1" x14ac:dyDescent="0.25">
      <c r="A126" s="18"/>
      <c r="B126" s="19">
        <v>0</v>
      </c>
      <c r="C126" s="19">
        <v>0</v>
      </c>
      <c r="D126" s="19">
        <v>0</v>
      </c>
      <c r="E126" s="28">
        <v>465</v>
      </c>
      <c r="F126" s="20" t="str">
        <f t="shared" si="2"/>
        <v>GUTIERREZ MORALES, OMAR MARTIN</v>
      </c>
      <c r="G126" s="21"/>
      <c r="H126" s="28">
        <v>20</v>
      </c>
      <c r="I126" s="28">
        <v>1</v>
      </c>
      <c r="J126" s="28">
        <v>2</v>
      </c>
      <c r="K126" s="28">
        <v>2</v>
      </c>
      <c r="L126" s="26" t="s">
        <v>2219</v>
      </c>
      <c r="M126" s="26" t="s">
        <v>1783</v>
      </c>
      <c r="N126" s="26" t="s">
        <v>1822</v>
      </c>
      <c r="O126" s="26" t="s">
        <v>822</v>
      </c>
      <c r="P126" s="26" t="s">
        <v>823</v>
      </c>
      <c r="Q126" s="26">
        <v>13907340452</v>
      </c>
      <c r="R126" s="34">
        <v>42448</v>
      </c>
      <c r="S126" s="34">
        <v>27346</v>
      </c>
      <c r="T126" s="35" t="s">
        <v>824</v>
      </c>
      <c r="U126" s="26"/>
      <c r="V126" s="26" t="s">
        <v>825</v>
      </c>
      <c r="W126" s="26"/>
      <c r="X126" s="26"/>
      <c r="Y126" s="26"/>
      <c r="Z126" s="26"/>
      <c r="AA126" s="26"/>
      <c r="AB126" s="26"/>
      <c r="AC126" s="34"/>
      <c r="AD126" s="26"/>
      <c r="AE126" s="26"/>
      <c r="AG126" s="22" t="str">
        <f t="shared" si="3"/>
        <v>EXECUTE [dbo].[PG_CI_OPERADOR] 0, 0, 0, 465, 'GUTIERREZ MORALES, OMAR MARTIN' , '' , 20 , 1 , 2, 2,'OMAR MARTIN', 'GUTIERREZ', 'MORALES' , 'GUMO741103QZ8', 'GUMO741103HDFTRM03', '13907340452', 03-19-2016, '11-13-1974','55 20064012','','RET. ALHELIES MZ.2 LT.6 INT. 6-C','','','','','','','01-00-1900', ,'''</v>
      </c>
      <c r="AH126" s="11"/>
    </row>
    <row r="127" spans="1:34" s="10" customFormat="1" x14ac:dyDescent="0.25">
      <c r="A127" s="18"/>
      <c r="B127" s="19">
        <v>0</v>
      </c>
      <c r="C127" s="19">
        <v>0</v>
      </c>
      <c r="D127" s="19">
        <v>0</v>
      </c>
      <c r="E127" s="28">
        <v>466</v>
      </c>
      <c r="F127" s="20" t="str">
        <f t="shared" si="2"/>
        <v xml:space="preserve">HERNANDEZ CORTES, MOISES </v>
      </c>
      <c r="G127" s="21"/>
      <c r="H127" s="28">
        <v>20</v>
      </c>
      <c r="I127" s="28">
        <v>1</v>
      </c>
      <c r="J127" s="28">
        <v>2</v>
      </c>
      <c r="K127" s="28">
        <v>2</v>
      </c>
      <c r="L127" s="26" t="s">
        <v>2220</v>
      </c>
      <c r="M127" s="26" t="s">
        <v>1713</v>
      </c>
      <c r="N127" s="26" t="s">
        <v>1946</v>
      </c>
      <c r="O127" s="26" t="s">
        <v>829</v>
      </c>
      <c r="P127" s="26" t="s">
        <v>830</v>
      </c>
      <c r="Q127" s="26">
        <v>65927234677</v>
      </c>
      <c r="R127" s="34">
        <v>42504</v>
      </c>
      <c r="S127" s="34">
        <v>26300</v>
      </c>
      <c r="T127" s="35" t="s">
        <v>831</v>
      </c>
      <c r="U127" s="26"/>
      <c r="V127" s="26" t="s">
        <v>832</v>
      </c>
      <c r="W127" s="26"/>
      <c r="X127" s="26"/>
      <c r="Y127" s="26"/>
      <c r="Z127" s="26"/>
      <c r="AA127" s="26"/>
      <c r="AB127" s="26"/>
      <c r="AC127" s="34"/>
      <c r="AD127" s="26"/>
      <c r="AE127" s="26"/>
      <c r="AG127" s="22" t="str">
        <f t="shared" si="3"/>
        <v>EXECUTE [dbo].[PG_CI_OPERADOR] 0, 0, 0, 466, 'HERNANDEZ CORTES, MOISES ' , '' , 20 , 1 , 2, 2,'MOISES ', 'HERNANDEZ', 'CORTES' , 'HECM720102FV3', 'HECM720102HVZRRS06', '65927234677', 05-14-2016, '01-02-1972','936 1141769','','RIO LAS MANZANAS NO. 152 MZ 43 LT 6','','','','','','','01-00-1900', ,'''</v>
      </c>
      <c r="AH127" s="11"/>
    </row>
    <row r="128" spans="1:34" s="10" customFormat="1" x14ac:dyDescent="0.25">
      <c r="A128" s="18"/>
      <c r="B128" s="19">
        <v>0</v>
      </c>
      <c r="C128" s="19">
        <v>0</v>
      </c>
      <c r="D128" s="19">
        <v>0</v>
      </c>
      <c r="E128" s="28">
        <v>467</v>
      </c>
      <c r="F128" s="20" t="str">
        <f t="shared" si="2"/>
        <v xml:space="preserve">HERNANDEZ GALLEGOS, WALTER </v>
      </c>
      <c r="G128" s="21"/>
      <c r="H128" s="28">
        <v>20</v>
      </c>
      <c r="I128" s="28">
        <v>1</v>
      </c>
      <c r="J128" s="28">
        <v>2</v>
      </c>
      <c r="K128" s="28">
        <v>2</v>
      </c>
      <c r="L128" s="26" t="s">
        <v>2221</v>
      </c>
      <c r="M128" s="26" t="s">
        <v>1713</v>
      </c>
      <c r="N128" s="26" t="s">
        <v>1948</v>
      </c>
      <c r="O128" s="26" t="s">
        <v>835</v>
      </c>
      <c r="P128" s="26" t="s">
        <v>836</v>
      </c>
      <c r="Q128" s="26">
        <v>83866807650</v>
      </c>
      <c r="R128" s="34">
        <v>42479</v>
      </c>
      <c r="S128" s="34">
        <v>25112</v>
      </c>
      <c r="T128" s="35" t="s">
        <v>837</v>
      </c>
      <c r="U128" s="26"/>
      <c r="V128" s="26" t="s">
        <v>838</v>
      </c>
      <c r="W128" s="26"/>
      <c r="X128" s="26"/>
      <c r="Y128" s="26"/>
      <c r="Z128" s="26"/>
      <c r="AA128" s="26"/>
      <c r="AB128" s="26"/>
      <c r="AC128" s="34"/>
      <c r="AD128" s="26"/>
      <c r="AE128" s="26"/>
      <c r="AG128" s="22" t="str">
        <f t="shared" si="3"/>
        <v>EXECUTE [dbo].[PG_CI_OPERADOR] 0, 0, 0, 467, 'HERNANDEZ GALLEGOS, WALTER ' , '' , 20 , 1 , 2, 2,'WALTER ', 'HERNANDEZ', 'GALLEGOS' , 'HEGW6810017X9', 'HEGW681001HTCRLL01', '83866807650', 04-19-2016, '10-01-1968','999 1358195','','C. 13 POR 36 Y 38 NO. 473','','','','','','','01-00-1900', ,'''</v>
      </c>
      <c r="AH128" s="11"/>
    </row>
    <row r="129" spans="1:34" s="10" customFormat="1" x14ac:dyDescent="0.25">
      <c r="A129" s="18"/>
      <c r="B129" s="19">
        <v>0</v>
      </c>
      <c r="C129" s="19">
        <v>0</v>
      </c>
      <c r="D129" s="19">
        <v>0</v>
      </c>
      <c r="E129" s="28">
        <v>468</v>
      </c>
      <c r="F129" s="20" t="str">
        <f t="shared" si="2"/>
        <v xml:space="preserve">HERNANDEZ GARCIA, FELIX </v>
      </c>
      <c r="G129" s="21"/>
      <c r="H129" s="28">
        <v>20</v>
      </c>
      <c r="I129" s="28">
        <v>1</v>
      </c>
      <c r="J129" s="28">
        <v>2</v>
      </c>
      <c r="K129" s="28">
        <v>2</v>
      </c>
      <c r="L129" s="26" t="s">
        <v>2222</v>
      </c>
      <c r="M129" s="26" t="s">
        <v>1713</v>
      </c>
      <c r="N129" s="26" t="s">
        <v>1773</v>
      </c>
      <c r="O129" s="26" t="s">
        <v>842</v>
      </c>
      <c r="P129" s="26" t="s">
        <v>843</v>
      </c>
      <c r="Q129" s="26">
        <v>96967455203</v>
      </c>
      <c r="R129" s="34">
        <v>42675</v>
      </c>
      <c r="S129" s="34">
        <v>27239</v>
      </c>
      <c r="T129" s="35" t="s">
        <v>844</v>
      </c>
      <c r="U129" s="26"/>
      <c r="V129" s="26" t="s">
        <v>845</v>
      </c>
      <c r="W129" s="26"/>
      <c r="X129" s="26"/>
      <c r="Y129" s="26"/>
      <c r="Z129" s="26"/>
      <c r="AA129" s="26"/>
      <c r="AB129" s="26"/>
      <c r="AC129" s="34"/>
      <c r="AD129" s="26"/>
      <c r="AE129" s="26"/>
      <c r="AG129" s="22" t="str">
        <f t="shared" si="3"/>
        <v>EXECUTE [dbo].[PG_CI_OPERADOR] 0, 0, 0, 468, 'HERNANDEZ GARCIA, FELIX ' , '' , 20 , 1 , 2, 2,'FELIX ', 'HERNANDEZ', 'GARCIA' , 'HEGF740729V15', 'HEGF740729HMCRRL00', '96967455203', 11-01-2016, '07-29-1974','595 9572674','','MOCTEZUMA NO. 18','','','','','','','01-00-1900', ,'''</v>
      </c>
      <c r="AH129" s="11"/>
    </row>
    <row r="130" spans="1:34" s="10" customFormat="1" x14ac:dyDescent="0.25">
      <c r="A130" s="18"/>
      <c r="B130" s="19">
        <v>0</v>
      </c>
      <c r="C130" s="19">
        <v>0</v>
      </c>
      <c r="D130" s="19">
        <v>0</v>
      </c>
      <c r="E130" s="28">
        <v>469</v>
      </c>
      <c r="F130" s="20" t="str">
        <f t="shared" si="2"/>
        <v xml:space="preserve">HERNANDEZ MARTINEZ, OSCAR </v>
      </c>
      <c r="G130" s="21"/>
      <c r="H130" s="28">
        <v>20</v>
      </c>
      <c r="I130" s="28">
        <v>2</v>
      </c>
      <c r="J130" s="28">
        <v>2</v>
      </c>
      <c r="K130" s="28">
        <v>2</v>
      </c>
      <c r="L130" s="26" t="s">
        <v>2125</v>
      </c>
      <c r="M130" s="26" t="s">
        <v>1713</v>
      </c>
      <c r="N130" s="26" t="s">
        <v>1765</v>
      </c>
      <c r="O130" s="26" t="s">
        <v>847</v>
      </c>
      <c r="P130" s="26" t="s">
        <v>848</v>
      </c>
      <c r="Q130" s="26">
        <v>94977721839</v>
      </c>
      <c r="R130" s="34">
        <v>42426</v>
      </c>
      <c r="S130" s="34">
        <v>28336</v>
      </c>
      <c r="T130" s="35" t="s">
        <v>849</v>
      </c>
      <c r="U130" s="26"/>
      <c r="V130" s="26" t="s">
        <v>850</v>
      </c>
      <c r="W130" s="26"/>
      <c r="X130" s="26"/>
      <c r="Y130" s="26"/>
      <c r="Z130" s="26"/>
      <c r="AA130" s="26"/>
      <c r="AB130" s="26"/>
      <c r="AC130" s="34"/>
      <c r="AD130" s="26"/>
      <c r="AE130" s="26"/>
      <c r="AG130" s="22" t="str">
        <f t="shared" si="3"/>
        <v>EXECUTE [dbo].[PG_CI_OPERADOR] 0, 0, 0, 469, 'HERNANDEZ MARTINEZ, OSCAR ' , '' , 20 , 2 , 2, 2,'OSCAR ', 'HERNANDEZ', 'MARTINEZ' , 'HEMO770730L29', 'HEMO770730HDFRRS15', '94977721839', 02-26-2016, '07-30-1977','55 65783734','','PUERTO PRINCIPE MZ. 19 LT. 9','','','','','','','01-00-1900', ,'''</v>
      </c>
      <c r="AH130" s="11"/>
    </row>
    <row r="131" spans="1:34" s="10" customFormat="1" x14ac:dyDescent="0.25">
      <c r="A131" s="18"/>
      <c r="B131" s="19">
        <v>0</v>
      </c>
      <c r="C131" s="19">
        <v>0</v>
      </c>
      <c r="D131" s="19">
        <v>0</v>
      </c>
      <c r="E131" s="28">
        <v>470</v>
      </c>
      <c r="F131" s="20" t="str">
        <f t="shared" si="2"/>
        <v>HERNANDEZ MELGOZA, VICTOR ANTONIO</v>
      </c>
      <c r="G131" s="21"/>
      <c r="H131" s="28">
        <v>20</v>
      </c>
      <c r="I131" s="28">
        <v>2</v>
      </c>
      <c r="J131" s="28">
        <v>2</v>
      </c>
      <c r="K131" s="28">
        <v>2</v>
      </c>
      <c r="L131" s="26" t="s">
        <v>2223</v>
      </c>
      <c r="M131" s="26" t="s">
        <v>1713</v>
      </c>
      <c r="N131" s="26" t="s">
        <v>1950</v>
      </c>
      <c r="O131" s="26" t="s">
        <v>853</v>
      </c>
      <c r="P131" s="26" t="s">
        <v>854</v>
      </c>
      <c r="Q131" s="26">
        <v>61107400832</v>
      </c>
      <c r="R131" s="34">
        <v>42425</v>
      </c>
      <c r="S131" s="34">
        <v>27165</v>
      </c>
      <c r="T131" s="35" t="s">
        <v>855</v>
      </c>
      <c r="U131" s="26"/>
      <c r="V131" s="26" t="s">
        <v>856</v>
      </c>
      <c r="W131" s="26"/>
      <c r="X131" s="26"/>
      <c r="Y131" s="26"/>
      <c r="Z131" s="26"/>
      <c r="AA131" s="26"/>
      <c r="AB131" s="26"/>
      <c r="AC131" s="34"/>
      <c r="AD131" s="26"/>
      <c r="AE131" s="26"/>
      <c r="AG131" s="22" t="str">
        <f t="shared" si="3"/>
        <v>EXECUTE [dbo].[PG_CI_OPERADOR] 0, 0, 0, 470, 'HERNANDEZ MELGOZA, VICTOR ANTONIO' , '' , 20 , 2 , 2, 2,'VICTOR ANTONIO', 'HERNANDEZ', 'MELGOZA' , 'HEMV7405166K3', 'HEMV740516HMSRLC01', '61107400832', 02-25-2016, '05-16-1974','735 3518486','','CONSTANCIO FARFAN NO. 27','','','','','','','01-00-1900', ,'''</v>
      </c>
      <c r="AH131" s="11"/>
    </row>
    <row r="132" spans="1:34" s="10" customFormat="1" x14ac:dyDescent="0.25">
      <c r="A132" s="18"/>
      <c r="B132" s="19">
        <v>0</v>
      </c>
      <c r="C132" s="19">
        <v>0</v>
      </c>
      <c r="D132" s="19">
        <v>0</v>
      </c>
      <c r="E132" s="28">
        <v>471</v>
      </c>
      <c r="F132" s="20" t="str">
        <f t="shared" ref="F132:F195" si="4">CONCATENATE(M132," ",N132,", ",L132)</f>
        <v>HERNANDEZ PEREZ, LUIS ALFREDO</v>
      </c>
      <c r="G132" s="21"/>
      <c r="H132" s="28">
        <v>20</v>
      </c>
      <c r="I132" s="28">
        <v>2</v>
      </c>
      <c r="J132" s="28">
        <v>3</v>
      </c>
      <c r="K132" s="28">
        <v>2</v>
      </c>
      <c r="L132" s="26" t="s">
        <v>2224</v>
      </c>
      <c r="M132" s="26" t="s">
        <v>1713</v>
      </c>
      <c r="N132" s="26" t="s">
        <v>1838</v>
      </c>
      <c r="O132" s="26" t="s">
        <v>860</v>
      </c>
      <c r="P132" s="26" t="s">
        <v>861</v>
      </c>
      <c r="Q132" s="26">
        <v>65876700314</v>
      </c>
      <c r="R132" s="34">
        <v>42483</v>
      </c>
      <c r="S132" s="34">
        <v>24680</v>
      </c>
      <c r="T132" s="35" t="s">
        <v>862</v>
      </c>
      <c r="U132" s="26"/>
      <c r="V132" s="26" t="s">
        <v>863</v>
      </c>
      <c r="W132" s="26"/>
      <c r="X132" s="26"/>
      <c r="Y132" s="26"/>
      <c r="Z132" s="26"/>
      <c r="AA132" s="26"/>
      <c r="AB132" s="26"/>
      <c r="AC132" s="34"/>
      <c r="AD132" s="26"/>
      <c r="AE132" s="26"/>
      <c r="AG132" s="22" t="str">
        <f t="shared" ref="AG132:AG165" si="5">CONCATENATE($AJ$1,E132,", '",F132,"' , '",G132,"' , ",H132," , ",I132," , ",J132,", ",K132,",'",L132,"', '",M132,"', '",N132,"' , '",O132,"', '",P132,"', '",Q132,"', ",TEXT(R132,"mm-dd-aaaa"),", '",TEXT(S132,"mm-dd-aaaa"),"','", T132,"','",U132,"','",V132,"','",W132,"','",X132,"','",Y132,"','",Z132,"','",AA132,"','",AB132,"','",TEXT(AC132,"mm-dd-aaaa"),"', ",AD132,",'",AE132,"''")</f>
        <v>EXECUTE [dbo].[PG_CI_OPERADOR] 0, 0, 0, 471, 'HERNANDEZ PEREZ, LUIS ALFREDO' , '' , 20 , 2 , 3, 2,'LUIS ALFREDO', 'HERNANDEZ', 'PEREZ' , 'HEPL6707279L0', 'HEPL670727HVZRRS05', '65876700314', 04-23-2016, '07-27-1967','993 3420900','','AND. ANTURIOS NO. 72-B','','','','','','','01-00-1900', ,'''</v>
      </c>
      <c r="AH132" s="11"/>
    </row>
    <row r="133" spans="1:34" s="10" customFormat="1" x14ac:dyDescent="0.25">
      <c r="A133" s="18"/>
      <c r="B133" s="19">
        <v>0</v>
      </c>
      <c r="C133" s="19">
        <v>0</v>
      </c>
      <c r="D133" s="19">
        <v>0</v>
      </c>
      <c r="E133" s="28">
        <v>472</v>
      </c>
      <c r="F133" s="20" t="str">
        <f t="shared" si="4"/>
        <v>HERNANDEZ TORRES, JUAN RAMON</v>
      </c>
      <c r="G133" s="21"/>
      <c r="H133" s="28">
        <v>20</v>
      </c>
      <c r="I133" s="28">
        <v>1</v>
      </c>
      <c r="J133" s="28">
        <v>2</v>
      </c>
      <c r="K133" s="28">
        <v>2</v>
      </c>
      <c r="L133" s="26" t="s">
        <v>2225</v>
      </c>
      <c r="M133" s="26" t="s">
        <v>1713</v>
      </c>
      <c r="N133" s="26" t="s">
        <v>1731</v>
      </c>
      <c r="O133" s="26" t="s">
        <v>867</v>
      </c>
      <c r="P133" s="26" t="s">
        <v>868</v>
      </c>
      <c r="Q133" s="26">
        <v>13957825279</v>
      </c>
      <c r="R133" s="34">
        <v>42982</v>
      </c>
      <c r="S133" s="34">
        <v>28711</v>
      </c>
      <c r="T133" s="35" t="s">
        <v>869</v>
      </c>
      <c r="U133" s="26"/>
      <c r="V133" s="26" t="s">
        <v>870</v>
      </c>
      <c r="W133" s="26"/>
      <c r="X133" s="26"/>
      <c r="Y133" s="26"/>
      <c r="Z133" s="26"/>
      <c r="AA133" s="26"/>
      <c r="AB133" s="26"/>
      <c r="AC133" s="34"/>
      <c r="AD133" s="26"/>
      <c r="AE133" s="26"/>
      <c r="AG133" s="22" t="str">
        <f t="shared" si="5"/>
        <v>EXECUTE [dbo].[PG_CI_OPERADOR] 0, 0, 0, 472, 'HERNANDEZ TORRES, JUAN RAMON' , '' , 20 , 1 , 2, 2,'JUAN RAMON', 'HERNANDEZ', 'TORRES' , 'HETJ780809QT4', 'HETJ780809HHCGRRN08', '13957825279', 09-04-2017, '08-09-1978','773 1122554','','FRESNO NÂº 4','','','','','','','01-00-1900', ,'''</v>
      </c>
      <c r="AH133" s="11"/>
    </row>
    <row r="134" spans="1:34" s="10" customFormat="1" x14ac:dyDescent="0.25">
      <c r="A134" s="18"/>
      <c r="B134" s="19">
        <v>0</v>
      </c>
      <c r="C134" s="19">
        <v>0</v>
      </c>
      <c r="D134" s="19">
        <v>0</v>
      </c>
      <c r="E134" s="28">
        <v>473</v>
      </c>
      <c r="F134" s="20" t="str">
        <f t="shared" si="4"/>
        <v xml:space="preserve">HERRERA CRUZ, ARNULFO </v>
      </c>
      <c r="G134" s="21"/>
      <c r="H134" s="28">
        <v>20</v>
      </c>
      <c r="I134" s="28">
        <v>1</v>
      </c>
      <c r="J134" s="28">
        <v>2</v>
      </c>
      <c r="K134" s="28">
        <v>2</v>
      </c>
      <c r="L134" s="26" t="s">
        <v>2150</v>
      </c>
      <c r="M134" s="26" t="s">
        <v>1792</v>
      </c>
      <c r="N134" s="26" t="s">
        <v>1699</v>
      </c>
      <c r="O134" s="26" t="s">
        <v>874</v>
      </c>
      <c r="P134" s="26" t="s">
        <v>875</v>
      </c>
      <c r="Q134" s="26">
        <v>67997503361</v>
      </c>
      <c r="R134" s="34">
        <v>42471</v>
      </c>
      <c r="S134" s="34">
        <v>27706</v>
      </c>
      <c r="T134" s="35" t="s">
        <v>876</v>
      </c>
      <c r="U134" s="26"/>
      <c r="V134" s="26" t="s">
        <v>877</v>
      </c>
      <c r="W134" s="26"/>
      <c r="X134" s="26"/>
      <c r="Y134" s="26"/>
      <c r="Z134" s="26"/>
      <c r="AA134" s="26"/>
      <c r="AB134" s="26"/>
      <c r="AC134" s="34"/>
      <c r="AD134" s="26"/>
      <c r="AE134" s="26"/>
      <c r="AG134" s="22" t="str">
        <f t="shared" si="5"/>
        <v>EXECUTE [dbo].[PG_CI_OPERADOR] 0, 0, 0, 473, 'HERRERA CRUZ, ARNULFO ' , '' , 20 , 1 , 2, 2,'ARNULFO ', 'HERRERA', 'CRUZ' , 'HECA751108EP6', 'HECA751108HVZRRR04', '67997503361', 04-11-2016, '11-08-1975','288 1212237','','AV. NICOLAS BRAVO NÂº 990','','','','','','','01-00-1900', ,'''</v>
      </c>
      <c r="AH134" s="11"/>
    </row>
    <row r="135" spans="1:34" s="10" customFormat="1" x14ac:dyDescent="0.25">
      <c r="A135" s="18"/>
      <c r="B135" s="19">
        <v>0</v>
      </c>
      <c r="C135" s="19">
        <v>0</v>
      </c>
      <c r="D135" s="19">
        <v>0</v>
      </c>
      <c r="E135" s="28">
        <v>475</v>
      </c>
      <c r="F135" s="20" t="str">
        <f t="shared" si="4"/>
        <v xml:space="preserve">MARTINEZ SALAS, EDGAR </v>
      </c>
      <c r="G135" s="21"/>
      <c r="H135" s="28">
        <v>20</v>
      </c>
      <c r="I135" s="28">
        <v>1</v>
      </c>
      <c r="J135" s="28">
        <v>3</v>
      </c>
      <c r="K135" s="28">
        <v>2</v>
      </c>
      <c r="L135" s="26" t="s">
        <v>2226</v>
      </c>
      <c r="M135" s="26" t="s">
        <v>1765</v>
      </c>
      <c r="N135" s="26" t="s">
        <v>1951</v>
      </c>
      <c r="O135" s="26" t="s">
        <v>880</v>
      </c>
      <c r="P135" s="26" t="s">
        <v>881</v>
      </c>
      <c r="Q135" s="26">
        <v>94058815708</v>
      </c>
      <c r="R135" s="34">
        <v>42452</v>
      </c>
      <c r="S135" s="34">
        <v>32436</v>
      </c>
      <c r="T135" s="35" t="s">
        <v>882</v>
      </c>
      <c r="U135" s="26"/>
      <c r="V135" s="26" t="s">
        <v>883</v>
      </c>
      <c r="W135" s="26"/>
      <c r="X135" s="26"/>
      <c r="Y135" s="26"/>
      <c r="Z135" s="26"/>
      <c r="AA135" s="26"/>
      <c r="AB135" s="26"/>
      <c r="AC135" s="34"/>
      <c r="AD135" s="26"/>
      <c r="AE135" s="26"/>
      <c r="AG135" s="22" t="str">
        <f t="shared" si="5"/>
        <v>EXECUTE [dbo].[PG_CI_OPERADOR] 0, 0, 0, 475, 'MARTINEZ SALAS, EDGAR ' , '' , 20 , 1 , 3, 2,'EDGAR ', 'MARTINEZ', 'SALAS' , 'MASE8810201G3', 'MASE881020HDFRLD02', '94058815708', 03-23-2016, '10-20-1988','55 19694583','','TAJIN ED. 10-E DEPTO. 3','','','','','','','01-00-1900', ,'''</v>
      </c>
      <c r="AH135" s="11"/>
    </row>
    <row r="136" spans="1:34" s="10" customFormat="1" x14ac:dyDescent="0.25">
      <c r="A136" s="18"/>
      <c r="B136" s="19">
        <v>0</v>
      </c>
      <c r="C136" s="19">
        <v>0</v>
      </c>
      <c r="D136" s="19">
        <v>0</v>
      </c>
      <c r="E136" s="28">
        <v>476</v>
      </c>
      <c r="F136" s="20" t="str">
        <f t="shared" si="4"/>
        <v>MONTIEL HERNANDEZ, FRANCISCO JAVIER</v>
      </c>
      <c r="G136" s="21"/>
      <c r="H136" s="28">
        <v>20</v>
      </c>
      <c r="I136" s="28">
        <v>1</v>
      </c>
      <c r="J136" s="28">
        <v>2</v>
      </c>
      <c r="K136" s="28">
        <v>2</v>
      </c>
      <c r="L136" s="26" t="s">
        <v>2161</v>
      </c>
      <c r="M136" s="26" t="s">
        <v>1952</v>
      </c>
      <c r="N136" s="26" t="s">
        <v>1713</v>
      </c>
      <c r="O136" s="26" t="s">
        <v>887</v>
      </c>
      <c r="P136" s="26" t="s">
        <v>888</v>
      </c>
      <c r="Q136" s="26">
        <v>20957117821</v>
      </c>
      <c r="R136" s="34">
        <v>42396</v>
      </c>
      <c r="S136" s="34">
        <v>26636</v>
      </c>
      <c r="T136" s="35" t="s">
        <v>889</v>
      </c>
      <c r="U136" s="26"/>
      <c r="V136" s="26" t="s">
        <v>890</v>
      </c>
      <c r="W136" s="26"/>
      <c r="X136" s="26"/>
      <c r="Y136" s="26"/>
      <c r="Z136" s="26"/>
      <c r="AA136" s="26"/>
      <c r="AB136" s="26"/>
      <c r="AC136" s="34"/>
      <c r="AD136" s="26"/>
      <c r="AE136" s="26"/>
      <c r="AG136" s="22" t="str">
        <f t="shared" si="5"/>
        <v>EXECUTE [dbo].[PG_CI_OPERADOR] 0, 0, 0, 476, 'MONTIEL HERNANDEZ, FRANCISCO JAVIER' , '' , 20 , 1 , 2, 2,'FRANCISCO JAVIER', 'MONTIEL', 'HERNANDEZ' , 'MOHF721203UI4', 'MOHF721203HTLNRR04', '20957117821', 01-27-2016, '12-03-1972','241 1107348','','PRIVADA CELESTE, NÂº 469','','','','','','','01-00-1900', ,'''</v>
      </c>
      <c r="AH136" s="11"/>
    </row>
    <row r="137" spans="1:34" s="10" customFormat="1" x14ac:dyDescent="0.25">
      <c r="A137" s="18"/>
      <c r="B137" s="19">
        <v>0</v>
      </c>
      <c r="C137" s="19">
        <v>0</v>
      </c>
      <c r="D137" s="19">
        <v>0</v>
      </c>
      <c r="E137" s="28">
        <v>477</v>
      </c>
      <c r="F137" s="20" t="str">
        <f t="shared" si="4"/>
        <v>MORTERA MARTINEZ, JUAN CARLOS</v>
      </c>
      <c r="G137" s="21"/>
      <c r="H137" s="28">
        <v>20</v>
      </c>
      <c r="I137" s="28">
        <v>1</v>
      </c>
      <c r="J137" s="28">
        <v>2</v>
      </c>
      <c r="K137" s="28">
        <v>2</v>
      </c>
      <c r="L137" s="26" t="s">
        <v>2227</v>
      </c>
      <c r="M137" s="26" t="s">
        <v>1953</v>
      </c>
      <c r="N137" s="26" t="s">
        <v>1765</v>
      </c>
      <c r="O137" s="26" t="s">
        <v>894</v>
      </c>
      <c r="P137" s="26" t="s">
        <v>895</v>
      </c>
      <c r="Q137" s="26">
        <v>67957851982</v>
      </c>
      <c r="R137" s="34">
        <v>42487</v>
      </c>
      <c r="S137" s="34">
        <v>28728</v>
      </c>
      <c r="T137" s="35" t="s">
        <v>896</v>
      </c>
      <c r="U137" s="26"/>
      <c r="V137" s="26" t="s">
        <v>897</v>
      </c>
      <c r="W137" s="26"/>
      <c r="X137" s="26"/>
      <c r="Y137" s="26"/>
      <c r="Z137" s="26"/>
      <c r="AA137" s="26"/>
      <c r="AB137" s="26"/>
      <c r="AC137" s="34"/>
      <c r="AD137" s="26"/>
      <c r="AE137" s="26"/>
      <c r="AG137" s="22" t="str">
        <f t="shared" si="5"/>
        <v>EXECUTE [dbo].[PG_CI_OPERADOR] 0, 0, 0, 477, 'MORTERA MARTINEZ, JUAN CARLOS' , '' , 20 , 1 , 2, 2,'JUAN CARLOS', 'MORTERA', 'MARTINEZ' , 'MOMJ7808264W4', 'MOMJ780826HVZRRN01', '67957851982', 04-27-2016, '08-26-1978','921 150 1563','','1 Âº DE MAYO NÂº 6','','','','','','','01-00-1900', ,'''</v>
      </c>
      <c r="AH137" s="11"/>
    </row>
    <row r="138" spans="1:34" s="10" customFormat="1" x14ac:dyDescent="0.25">
      <c r="A138" s="18"/>
      <c r="B138" s="19">
        <v>0</v>
      </c>
      <c r="C138" s="19">
        <v>0</v>
      </c>
      <c r="D138" s="19">
        <v>0</v>
      </c>
      <c r="E138" s="28">
        <v>478</v>
      </c>
      <c r="F138" s="20" t="str">
        <f t="shared" si="4"/>
        <v>NAVA HERNANDEZ, SOTERO ALEJANDRO</v>
      </c>
      <c r="G138" s="21"/>
      <c r="H138" s="28">
        <v>20</v>
      </c>
      <c r="I138" s="28">
        <v>2</v>
      </c>
      <c r="J138" s="28">
        <v>2</v>
      </c>
      <c r="K138" s="28">
        <v>2</v>
      </c>
      <c r="L138" s="26" t="s">
        <v>2228</v>
      </c>
      <c r="M138" s="26" t="s">
        <v>1954</v>
      </c>
      <c r="N138" s="26" t="s">
        <v>1713</v>
      </c>
      <c r="O138" s="26" t="s">
        <v>900</v>
      </c>
      <c r="P138" s="26" t="s">
        <v>901</v>
      </c>
      <c r="Q138" s="26">
        <v>75826434138</v>
      </c>
      <c r="R138" s="34">
        <v>42478</v>
      </c>
      <c r="S138" s="34">
        <v>23489</v>
      </c>
      <c r="T138" s="35" t="s">
        <v>902</v>
      </c>
      <c r="U138" s="26"/>
      <c r="V138" s="26" t="s">
        <v>903</v>
      </c>
      <c r="W138" s="26"/>
      <c r="X138" s="26"/>
      <c r="Y138" s="26"/>
      <c r="Z138" s="26"/>
      <c r="AA138" s="26"/>
      <c r="AB138" s="26"/>
      <c r="AC138" s="34"/>
      <c r="AD138" s="26"/>
      <c r="AE138" s="26"/>
      <c r="AG138" s="22" t="str">
        <f t="shared" si="5"/>
        <v>EXECUTE [dbo].[PG_CI_OPERADOR] 0, 0, 0, 478, 'NAVA HERNANDEZ, SOTERO ALEJANDRO' , '' , 20 , 2 , 2, 2,'SOTERO ALEJANDRO', 'NAVA', 'HERNANDEZ' , 'NAHS6404222P7', 'NAHS640422HDFVRT02', '75826434138', 04-18-2016, '04-22-1964','55 54047425','','CTO. JOSEFA ORTIZ MZ 2 LT 10 INT 4','','','','','','','01-00-1900', ,'''</v>
      </c>
      <c r="AH138" s="11"/>
    </row>
    <row r="139" spans="1:34" s="10" customFormat="1" x14ac:dyDescent="0.25">
      <c r="A139" s="18"/>
      <c r="B139" s="19">
        <v>0</v>
      </c>
      <c r="C139" s="19">
        <v>0</v>
      </c>
      <c r="D139" s="19">
        <v>0</v>
      </c>
      <c r="E139" s="28">
        <v>479</v>
      </c>
      <c r="F139" s="20" t="str">
        <f t="shared" si="4"/>
        <v>POZOS OSORIO, JOSE OSCAR</v>
      </c>
      <c r="G139" s="21"/>
      <c r="H139" s="28">
        <v>20</v>
      </c>
      <c r="I139" s="28">
        <v>2</v>
      </c>
      <c r="J139" s="28">
        <v>2</v>
      </c>
      <c r="K139" s="28">
        <v>2</v>
      </c>
      <c r="L139" s="26" t="s">
        <v>2159</v>
      </c>
      <c r="M139" s="26" t="s">
        <v>1956</v>
      </c>
      <c r="N139" s="26" t="s">
        <v>1957</v>
      </c>
      <c r="O139" s="26" t="s">
        <v>907</v>
      </c>
      <c r="P139" s="26" t="s">
        <v>908</v>
      </c>
      <c r="Q139" s="26">
        <v>6806317225</v>
      </c>
      <c r="R139" s="34">
        <v>42597</v>
      </c>
      <c r="S139" s="34">
        <v>23066</v>
      </c>
      <c r="T139" s="35" t="s">
        <v>909</v>
      </c>
      <c r="U139" s="26"/>
      <c r="V139" s="26" t="s">
        <v>910</v>
      </c>
      <c r="W139" s="26"/>
      <c r="X139" s="26"/>
      <c r="Y139" s="26"/>
      <c r="Z139" s="26"/>
      <c r="AA139" s="26"/>
      <c r="AB139" s="26"/>
      <c r="AC139" s="34"/>
      <c r="AD139" s="26"/>
      <c r="AE139" s="26"/>
      <c r="AG139" s="22" t="str">
        <f t="shared" si="5"/>
        <v>EXECUTE [dbo].[PG_CI_OPERADOR] 0, 0, 0, 479, 'POZOS OSORIO, JOSE OSCAR' , '' , 20 , 2 , 2, 2,'JOSE OSCAR', 'POZOS', 'OSORIO' , 'POOO630224I33', 'POOO630224HDFZSS01', '6806317225', 08-15-2016, '02-24-1963','5532972561, 5529852824','','CALLE REYNA YAEL NO. 17','','','','','','','01-00-1900', ,'''</v>
      </c>
      <c r="AH139" s="11"/>
    </row>
    <row r="140" spans="1:34" s="10" customFormat="1" x14ac:dyDescent="0.25">
      <c r="A140" s="18"/>
      <c r="B140" s="19">
        <v>0</v>
      </c>
      <c r="C140" s="19">
        <v>0</v>
      </c>
      <c r="D140" s="19">
        <v>0</v>
      </c>
      <c r="E140" s="28">
        <v>480</v>
      </c>
      <c r="F140" s="20" t="str">
        <f t="shared" si="4"/>
        <v xml:space="preserve">RAMIREZ XOCHIPA, CIRILO </v>
      </c>
      <c r="G140" s="21"/>
      <c r="H140" s="28">
        <v>20</v>
      </c>
      <c r="I140" s="28">
        <v>1</v>
      </c>
      <c r="J140" s="28">
        <v>2</v>
      </c>
      <c r="K140" s="28">
        <v>2</v>
      </c>
      <c r="L140" s="26" t="s">
        <v>2229</v>
      </c>
      <c r="M140" s="26" t="s">
        <v>1724</v>
      </c>
      <c r="N140" s="26" t="s">
        <v>1958</v>
      </c>
      <c r="O140" s="26" t="s">
        <v>913</v>
      </c>
      <c r="P140" s="26" t="s">
        <v>914</v>
      </c>
      <c r="Q140" s="26">
        <v>42836506883</v>
      </c>
      <c r="R140" s="34">
        <v>42580</v>
      </c>
      <c r="S140" s="34">
        <v>24094</v>
      </c>
      <c r="T140" s="35" t="s">
        <v>915</v>
      </c>
      <c r="U140" s="26"/>
      <c r="V140" s="26" t="s">
        <v>916</v>
      </c>
      <c r="W140" s="26"/>
      <c r="X140" s="26"/>
      <c r="Y140" s="26"/>
      <c r="Z140" s="26"/>
      <c r="AA140" s="26"/>
      <c r="AB140" s="26"/>
      <c r="AC140" s="34"/>
      <c r="AD140" s="26"/>
      <c r="AE140" s="26"/>
      <c r="AG140" s="22" t="str">
        <f t="shared" si="5"/>
        <v>EXECUTE [dbo].[PG_CI_OPERADOR] 0, 0, 0, 480, 'RAMIREZ XOCHIPA, CIRILO ' , '' , 20 , 1 , 2, 2,'CIRILO ', 'RAMIREZ', 'XOCHIPA' , 'RAXC651218PB4', 'RAXC651218HTLMCR11', '42836506883', 07-29-2016, '12-18-1965','246 1409947','','MORELOS NO. 14','','','','','','','01-00-1900', ,'''</v>
      </c>
      <c r="AH140" s="11"/>
    </row>
    <row r="141" spans="1:34" s="10" customFormat="1" x14ac:dyDescent="0.25">
      <c r="A141" s="18"/>
      <c r="B141" s="19">
        <v>0</v>
      </c>
      <c r="C141" s="19">
        <v>0</v>
      </c>
      <c r="D141" s="19">
        <v>0</v>
      </c>
      <c r="E141" s="28">
        <v>481</v>
      </c>
      <c r="F141" s="20" t="str">
        <f t="shared" si="4"/>
        <v xml:space="preserve">REYES HERNANDEZ, ELIAS </v>
      </c>
      <c r="G141" s="21"/>
      <c r="H141" s="28">
        <v>20</v>
      </c>
      <c r="I141" s="28">
        <v>2</v>
      </c>
      <c r="J141" s="28">
        <v>2</v>
      </c>
      <c r="K141" s="28">
        <v>2</v>
      </c>
      <c r="L141" s="26" t="s">
        <v>2230</v>
      </c>
      <c r="M141" s="26" t="s">
        <v>1744</v>
      </c>
      <c r="N141" s="26" t="s">
        <v>1713</v>
      </c>
      <c r="O141" s="26" t="s">
        <v>920</v>
      </c>
      <c r="P141" s="26" t="s">
        <v>921</v>
      </c>
      <c r="Q141" s="26">
        <v>15927448082</v>
      </c>
      <c r="R141" s="34">
        <v>42640</v>
      </c>
      <c r="S141" s="34">
        <v>27137</v>
      </c>
      <c r="T141" s="35" t="s">
        <v>922</v>
      </c>
      <c r="U141" s="26"/>
      <c r="V141" s="26" t="s">
        <v>923</v>
      </c>
      <c r="W141" s="26"/>
      <c r="X141" s="26"/>
      <c r="Y141" s="26"/>
      <c r="Z141" s="26"/>
      <c r="AA141" s="26"/>
      <c r="AB141" s="26"/>
      <c r="AC141" s="34"/>
      <c r="AD141" s="26"/>
      <c r="AE141" s="26"/>
      <c r="AG141" s="22" t="str">
        <f t="shared" si="5"/>
        <v>EXECUTE [dbo].[PG_CI_OPERADOR] 0, 0, 0, 481, 'REYES HERNANDEZ, ELIAS ' , '' , 20 , 2 , 2, 2,'ELIAS ', 'REYES', 'HERNANDEZ' , 'REHE740418QY0', 'REHE740418HPLYRL06', '15927448082', 09-27-2016, '04-18-1974','776 7621514','','1RA CERRADA DE LOS TECNICOS, NÂº34','','','','','','','01-00-1900', ,'''</v>
      </c>
      <c r="AH141" s="11"/>
    </row>
    <row r="142" spans="1:34" s="10" customFormat="1" x14ac:dyDescent="0.25">
      <c r="A142" s="18"/>
      <c r="B142" s="19">
        <v>0</v>
      </c>
      <c r="C142" s="19">
        <v>0</v>
      </c>
      <c r="D142" s="19">
        <v>0</v>
      </c>
      <c r="E142" s="28">
        <v>482</v>
      </c>
      <c r="F142" s="20" t="str">
        <f t="shared" si="4"/>
        <v xml:space="preserve">REYNOSO URIAS, ALFONSO </v>
      </c>
      <c r="G142" s="21"/>
      <c r="H142" s="28">
        <v>20</v>
      </c>
      <c r="I142" s="28">
        <v>1</v>
      </c>
      <c r="J142" s="28">
        <v>1</v>
      </c>
      <c r="K142" s="28">
        <v>2</v>
      </c>
      <c r="L142" s="26" t="s">
        <v>2117</v>
      </c>
      <c r="M142" s="26" t="s">
        <v>1961</v>
      </c>
      <c r="N142" s="26" t="s">
        <v>1962</v>
      </c>
      <c r="O142" s="26" t="s">
        <v>927</v>
      </c>
      <c r="P142" s="26" t="s">
        <v>928</v>
      </c>
      <c r="Q142" s="26">
        <v>72906202311</v>
      </c>
      <c r="R142" s="34">
        <v>42643</v>
      </c>
      <c r="S142" s="34">
        <v>22761</v>
      </c>
      <c r="T142" s="35" t="s">
        <v>929</v>
      </c>
      <c r="U142" s="26"/>
      <c r="V142" s="26" t="s">
        <v>930</v>
      </c>
      <c r="W142" s="26"/>
      <c r="X142" s="26"/>
      <c r="Y142" s="26"/>
      <c r="Z142" s="26"/>
      <c r="AA142" s="26"/>
      <c r="AB142" s="26"/>
      <c r="AC142" s="34"/>
      <c r="AD142" s="26"/>
      <c r="AE142" s="26"/>
      <c r="AG142" s="22" t="str">
        <f t="shared" si="5"/>
        <v>EXECUTE [dbo].[PG_CI_OPERADOR] 0, 0, 0, 482, 'REYNOSO URIAS, ALFONSO ' , '' , 20 , 1 , 1, 2,'ALFONSO ', 'REYNOSO', 'URIAS' , 'REUA620425240', 'REUA620425HGRYRL07', '72906202311', 09-30-2016, '04-25-1962','747 1485575','','AVENIDA MEXICO SN','','','','','','','01-00-1900', ,'''</v>
      </c>
      <c r="AH142" s="11"/>
    </row>
    <row r="143" spans="1:34" s="10" customFormat="1" x14ac:dyDescent="0.25">
      <c r="A143" s="18"/>
      <c r="B143" s="19">
        <v>0</v>
      </c>
      <c r="C143" s="19">
        <v>0</v>
      </c>
      <c r="D143" s="19">
        <v>0</v>
      </c>
      <c r="E143" s="28">
        <v>483</v>
      </c>
      <c r="F143" s="20" t="str">
        <f t="shared" si="4"/>
        <v xml:space="preserve">SANCHEZ SANCHEZ, ISAIAS </v>
      </c>
      <c r="G143" s="21"/>
      <c r="H143" s="28">
        <v>20</v>
      </c>
      <c r="I143" s="28">
        <v>2</v>
      </c>
      <c r="J143" s="28">
        <v>2</v>
      </c>
      <c r="K143" s="28">
        <v>2</v>
      </c>
      <c r="L143" s="26" t="s">
        <v>2231</v>
      </c>
      <c r="M143" s="26" t="s">
        <v>1862</v>
      </c>
      <c r="N143" s="26" t="s">
        <v>1862</v>
      </c>
      <c r="O143" s="26" t="s">
        <v>934</v>
      </c>
      <c r="P143" s="26" t="s">
        <v>935</v>
      </c>
      <c r="Q143" s="26">
        <v>2167145180</v>
      </c>
      <c r="R143" s="34">
        <v>42675</v>
      </c>
      <c r="S143" s="34">
        <v>26056</v>
      </c>
      <c r="T143" s="35" t="s">
        <v>936</v>
      </c>
      <c r="U143" s="26"/>
      <c r="V143" s="26" t="s">
        <v>937</v>
      </c>
      <c r="W143" s="26"/>
      <c r="X143" s="26"/>
      <c r="Y143" s="26"/>
      <c r="Z143" s="26"/>
      <c r="AA143" s="26"/>
      <c r="AB143" s="26"/>
      <c r="AC143" s="34"/>
      <c r="AD143" s="26"/>
      <c r="AE143" s="26"/>
      <c r="AG143" s="22" t="str">
        <f t="shared" si="5"/>
        <v>EXECUTE [dbo].[PG_CI_OPERADOR] 0, 0, 0, 483, 'SANCHEZ SANCHEZ, ISAIAS ' , '' , 20 , 2 , 2, 2,'ISAIAS ', 'SANCHEZ', 'SANCHEZ' , 'SASI7105039Y4', 'SASI710503HHGNNS06', '2167145180', 11-01-2016, '05-03-1971','772 1287690','','GABINO BARREDA NO. 47','','','','','','','01-00-1900', ,'''</v>
      </c>
      <c r="AH143" s="11"/>
    </row>
    <row r="144" spans="1:34" s="10" customFormat="1" x14ac:dyDescent="0.25">
      <c r="A144" s="18"/>
      <c r="B144" s="19">
        <v>0</v>
      </c>
      <c r="C144" s="19">
        <v>0</v>
      </c>
      <c r="D144" s="19">
        <v>0</v>
      </c>
      <c r="E144" s="28">
        <v>486</v>
      </c>
      <c r="F144" s="20" t="str">
        <f t="shared" si="4"/>
        <v>CADENA ESQUIVEL, LUIS ENRIQUE</v>
      </c>
      <c r="G144" s="21"/>
      <c r="H144" s="28">
        <v>20</v>
      </c>
      <c r="I144" s="28">
        <v>1</v>
      </c>
      <c r="J144" s="28">
        <v>2</v>
      </c>
      <c r="K144" s="28">
        <v>2</v>
      </c>
      <c r="L144" s="26" t="s">
        <v>2232</v>
      </c>
      <c r="M144" s="26" t="s">
        <v>1964</v>
      </c>
      <c r="N144" s="26" t="s">
        <v>1944</v>
      </c>
      <c r="O144" s="26" t="s">
        <v>941</v>
      </c>
      <c r="P144" s="26" t="s">
        <v>942</v>
      </c>
      <c r="Q144" s="26">
        <v>92897173420</v>
      </c>
      <c r="R144" s="34">
        <v>42488</v>
      </c>
      <c r="S144" s="34">
        <v>26055</v>
      </c>
      <c r="T144" s="35" t="s">
        <v>943</v>
      </c>
      <c r="U144" s="26"/>
      <c r="V144" s="26" t="s">
        <v>944</v>
      </c>
      <c r="W144" s="26"/>
      <c r="X144" s="26"/>
      <c r="Y144" s="26"/>
      <c r="Z144" s="26"/>
      <c r="AA144" s="26"/>
      <c r="AB144" s="26"/>
      <c r="AC144" s="34"/>
      <c r="AD144" s="26"/>
      <c r="AE144" s="26"/>
      <c r="AG144" s="22" t="str">
        <f t="shared" si="5"/>
        <v>EXECUTE [dbo].[PG_CI_OPERADOR] 0, 0, 0, 486, 'CADENA ESQUIVEL, LUIS ENRIQUE' , '' , 20 , 1 , 2, 2,'LUIS ENRIQUE', 'CADENA', 'ESQUIVEL' , 'CAEL710502689', 'CAEL710502HDFDSS06', '92897173420', 04-28-2016, '05-02-1971','55 29852824','','JARDIN DE AMAPOLAS NÂº 81','','','','','','','01-00-1900', ,'''</v>
      </c>
      <c r="AH144" s="11"/>
    </row>
    <row r="145" spans="1:34" s="10" customFormat="1" x14ac:dyDescent="0.25">
      <c r="A145" s="18"/>
      <c r="B145" s="19">
        <v>0</v>
      </c>
      <c r="C145" s="19">
        <v>0</v>
      </c>
      <c r="D145" s="19">
        <v>0</v>
      </c>
      <c r="E145" s="28">
        <v>498</v>
      </c>
      <c r="F145" s="20" t="str">
        <f t="shared" si="4"/>
        <v>ESCALANTE FLORES, MANUEL ANTONIO</v>
      </c>
      <c r="G145" s="21"/>
      <c r="H145" s="28">
        <v>20</v>
      </c>
      <c r="I145" s="28">
        <v>2</v>
      </c>
      <c r="J145" s="28">
        <v>2</v>
      </c>
      <c r="K145" s="28">
        <v>2</v>
      </c>
      <c r="L145" s="26" t="s">
        <v>2233</v>
      </c>
      <c r="M145" s="26" t="s">
        <v>1965</v>
      </c>
      <c r="N145" s="26" t="s">
        <v>1705</v>
      </c>
      <c r="O145" s="26" t="s">
        <v>947</v>
      </c>
      <c r="P145" s="26" t="s">
        <v>948</v>
      </c>
      <c r="Q145" s="26">
        <v>83896824535</v>
      </c>
      <c r="R145" s="34">
        <v>42624</v>
      </c>
      <c r="S145" s="34">
        <v>25064</v>
      </c>
      <c r="T145" s="35">
        <v>9371175440</v>
      </c>
      <c r="U145" s="26"/>
      <c r="V145" s="26" t="s">
        <v>949</v>
      </c>
      <c r="W145" s="26"/>
      <c r="X145" s="26"/>
      <c r="Y145" s="26"/>
      <c r="Z145" s="26"/>
      <c r="AA145" s="26"/>
      <c r="AB145" s="26"/>
      <c r="AC145" s="34"/>
      <c r="AD145" s="26"/>
      <c r="AE145" s="26"/>
      <c r="AG145" s="22" t="str">
        <f t="shared" si="5"/>
        <v>EXECUTE [dbo].[PG_CI_OPERADOR] 0, 0, 0, 498, 'ESCALANTE FLORES, MANUEL ANTONIO' , '' , 20 , 2 , 2, 2,'MANUEL ANTONIO', 'ESCALANTE', 'FLORES' , 'EAFM680814KNA', 'EAFM680814HTCSLN00', '83896824535', 09-11-2016, '08-14-1968','9371175440','','DOMICILIO CONOCIDO S/N','','','','','','','01-00-1900', ,'''</v>
      </c>
      <c r="AH145" s="11"/>
    </row>
    <row r="146" spans="1:34" s="10" customFormat="1" x14ac:dyDescent="0.25">
      <c r="A146" s="18"/>
      <c r="B146" s="19">
        <v>0</v>
      </c>
      <c r="C146" s="19">
        <v>0</v>
      </c>
      <c r="D146" s="19">
        <v>0</v>
      </c>
      <c r="E146" s="28">
        <v>499</v>
      </c>
      <c r="F146" s="20" t="str">
        <f t="shared" si="4"/>
        <v>LOPEZ QUIROGA, JOSE DEL</v>
      </c>
      <c r="G146" s="21"/>
      <c r="H146" s="28">
        <v>20</v>
      </c>
      <c r="I146" s="28">
        <v>2</v>
      </c>
      <c r="J146" s="28">
        <v>2</v>
      </c>
      <c r="K146" s="28">
        <v>2</v>
      </c>
      <c r="L146" s="26" t="s">
        <v>2234</v>
      </c>
      <c r="M146" s="26" t="s">
        <v>1850</v>
      </c>
      <c r="N146" s="26" t="s">
        <v>1966</v>
      </c>
      <c r="O146" s="26" t="s">
        <v>953</v>
      </c>
      <c r="P146" s="26" t="s">
        <v>954</v>
      </c>
      <c r="Q146" s="26">
        <v>83917511350</v>
      </c>
      <c r="R146" s="34">
        <v>42492</v>
      </c>
      <c r="S146" s="34">
        <v>27697</v>
      </c>
      <c r="T146" s="35">
        <v>9371253503</v>
      </c>
      <c r="U146" s="26"/>
      <c r="V146" s="26" t="s">
        <v>955</v>
      </c>
      <c r="W146" s="26"/>
      <c r="X146" s="26"/>
      <c r="Y146" s="26"/>
      <c r="Z146" s="26"/>
      <c r="AA146" s="26"/>
      <c r="AB146" s="26"/>
      <c r="AC146" s="34"/>
      <c r="AD146" s="26"/>
      <c r="AE146" s="26"/>
      <c r="AG146" s="22" t="str">
        <f t="shared" si="5"/>
        <v>EXECUTE [dbo].[PG_CI_OPERADOR] 0, 0, 0, 499, 'LOPEZ QUIROGA, JOSE DEL' , '' , 20 , 2 , 2, 2,'JOSE DEL', 'LOPEZ', 'QUIROGA' , 'LOQC751030151', 'LOQC751030HTCPRR06', '83917511350', 05-02-2016, '10-30-1975','9371253503','','JESUS GARCIA NO. 970','','','','','','','01-00-1900', ,'''</v>
      </c>
      <c r="AH146" s="11"/>
    </row>
    <row r="147" spans="1:34" s="10" customFormat="1" x14ac:dyDescent="0.25">
      <c r="A147" s="18"/>
      <c r="B147" s="19">
        <v>0</v>
      </c>
      <c r="C147" s="19">
        <v>0</v>
      </c>
      <c r="D147" s="19">
        <v>0</v>
      </c>
      <c r="E147" s="28">
        <v>500</v>
      </c>
      <c r="F147" s="20" t="str">
        <f t="shared" si="4"/>
        <v xml:space="preserve">VALENTE ESCOBAR, EDUARDO </v>
      </c>
      <c r="G147" s="21"/>
      <c r="H147" s="28">
        <v>20</v>
      </c>
      <c r="I147" s="28">
        <v>2</v>
      </c>
      <c r="J147" s="28">
        <v>2</v>
      </c>
      <c r="K147" s="28">
        <v>2</v>
      </c>
      <c r="L147" s="26" t="s">
        <v>2156</v>
      </c>
      <c r="M147" s="26" t="s">
        <v>1969</v>
      </c>
      <c r="N147" s="26" t="s">
        <v>1840</v>
      </c>
      <c r="O147" s="26" t="s">
        <v>959</v>
      </c>
      <c r="P147" s="26" t="s">
        <v>960</v>
      </c>
      <c r="Q147" s="26">
        <v>72937577954</v>
      </c>
      <c r="R147" s="34">
        <v>42504</v>
      </c>
      <c r="S147" s="34">
        <v>27644</v>
      </c>
      <c r="T147" s="35" t="s">
        <v>961</v>
      </c>
      <c r="U147" s="26"/>
      <c r="V147" s="26" t="s">
        <v>962</v>
      </c>
      <c r="W147" s="26"/>
      <c r="X147" s="26"/>
      <c r="Y147" s="26"/>
      <c r="Z147" s="26"/>
      <c r="AA147" s="26"/>
      <c r="AB147" s="26"/>
      <c r="AC147" s="34"/>
      <c r="AD147" s="26"/>
      <c r="AE147" s="26"/>
      <c r="AG147" s="22" t="str">
        <f t="shared" si="5"/>
        <v>EXECUTE [dbo].[PG_CI_OPERADOR] 0, 0, 0, 500, 'VALENTE ESCOBAR, EDUARDO ' , '' , 20 , 2 , 2, 2,'EDUARDO ', 'VALENTE', 'ESCOBAR' , 'VAEE7509076M1', 'VAEE750907HGRLSD09', '72937577954', 05-14-2016, '09-07-1975','744 2404336','','ZACATECAS S/N','','','','','','','01-00-1900', ,'''</v>
      </c>
      <c r="AH147" s="11"/>
    </row>
    <row r="148" spans="1:34" s="10" customFormat="1" x14ac:dyDescent="0.25">
      <c r="A148" s="18"/>
      <c r="B148" s="19">
        <v>0</v>
      </c>
      <c r="C148" s="19">
        <v>0</v>
      </c>
      <c r="D148" s="19">
        <v>0</v>
      </c>
      <c r="E148" s="28">
        <v>501</v>
      </c>
      <c r="F148" s="20" t="str">
        <f t="shared" si="4"/>
        <v xml:space="preserve">VARGAS DIAZ, AGUSTIN </v>
      </c>
      <c r="G148" s="21"/>
      <c r="H148" s="28">
        <v>20</v>
      </c>
      <c r="I148" s="28">
        <v>2</v>
      </c>
      <c r="J148" s="28">
        <v>2</v>
      </c>
      <c r="K148" s="28">
        <v>2</v>
      </c>
      <c r="L148" s="26" t="s">
        <v>2235</v>
      </c>
      <c r="M148" s="26" t="s">
        <v>1715</v>
      </c>
      <c r="N148" s="26" t="s">
        <v>1739</v>
      </c>
      <c r="O148" s="26" t="s">
        <v>967</v>
      </c>
      <c r="P148" s="26" t="s">
        <v>968</v>
      </c>
      <c r="Q148" s="26">
        <v>65998225281</v>
      </c>
      <c r="R148" s="34">
        <v>42706</v>
      </c>
      <c r="S148" s="34">
        <v>30308</v>
      </c>
      <c r="T148" s="35">
        <v>457751224400</v>
      </c>
      <c r="U148" s="26"/>
      <c r="V148" s="26" t="s">
        <v>969</v>
      </c>
      <c r="W148" s="26"/>
      <c r="X148" s="26"/>
      <c r="Y148" s="26"/>
      <c r="Z148" s="26"/>
      <c r="AA148" s="26"/>
      <c r="AB148" s="26"/>
      <c r="AC148" s="34"/>
      <c r="AD148" s="26"/>
      <c r="AE148" s="26"/>
      <c r="AG148" s="22" t="str">
        <f t="shared" si="5"/>
        <v>EXECUTE [dbo].[PG_CI_OPERADOR] 0, 0, 0, 501, 'VARGAS DIAZ, AGUSTIN ' , '' , 20 , 2 , 2, 2,'AGUSTIN ', 'VARGAS', 'DIAZ' , 'VADA8212232N8', 'VADA821223HVZRZG09', '65998225281', 12-02-2016, '12-23-1982','457751224400','','PRIV EL FERROCARRIL 106','','','','','','','01-00-1900', ,'''</v>
      </c>
      <c r="AH148" s="11"/>
    </row>
    <row r="149" spans="1:34" s="10" customFormat="1" x14ac:dyDescent="0.25">
      <c r="A149" s="18"/>
      <c r="B149" s="19">
        <v>0</v>
      </c>
      <c r="C149" s="19">
        <v>0</v>
      </c>
      <c r="D149" s="19">
        <v>0</v>
      </c>
      <c r="E149" s="28">
        <v>502</v>
      </c>
      <c r="F149" s="20" t="str">
        <f t="shared" si="4"/>
        <v xml:space="preserve">J.L. CORTEZ,  </v>
      </c>
      <c r="G149" s="21"/>
      <c r="H149" s="28">
        <v>19</v>
      </c>
      <c r="I149" s="28">
        <v>1</v>
      </c>
      <c r="J149" s="28">
        <v>1</v>
      </c>
      <c r="K149" s="28">
        <v>2</v>
      </c>
      <c r="L149" s="26" t="s">
        <v>2236</v>
      </c>
      <c r="M149" s="26" t="s">
        <v>1971</v>
      </c>
      <c r="N149" s="26" t="s">
        <v>1931</v>
      </c>
      <c r="O149" s="26" t="s">
        <v>12</v>
      </c>
      <c r="P149" s="26" t="s">
        <v>12</v>
      </c>
      <c r="Q149" s="26">
        <v>0</v>
      </c>
      <c r="R149" s="34">
        <v>42719</v>
      </c>
      <c r="S149" s="34">
        <v>28474</v>
      </c>
      <c r="T149" s="35" t="s">
        <v>12</v>
      </c>
      <c r="U149" s="26"/>
      <c r="V149" s="26" t="s">
        <v>12</v>
      </c>
      <c r="W149" s="26"/>
      <c r="X149" s="26"/>
      <c r="Y149" s="26"/>
      <c r="Z149" s="26"/>
      <c r="AA149" s="26"/>
      <c r="AB149" s="26"/>
      <c r="AC149" s="34"/>
      <c r="AD149" s="26"/>
      <c r="AE149" s="26"/>
      <c r="AG149" s="22" t="str">
        <f t="shared" si="5"/>
        <v>EXECUTE [dbo].[PG_CI_OPERADOR] 0, 0, 0, 502, 'J.L. CORTEZ,  ' , '' , 19 , 1 , 1, 2,' ', 'J.L.', 'CORTEZ' , 'N/A', 'N/A', '0', 12-15-2016, '12-15-1977','N/A','','N/A','','','','','','','01-00-1900', ,'''</v>
      </c>
      <c r="AH149" s="11"/>
    </row>
    <row r="150" spans="1:34" s="10" customFormat="1" x14ac:dyDescent="0.25">
      <c r="A150" s="18"/>
      <c r="B150" s="19">
        <v>0</v>
      </c>
      <c r="C150" s="19">
        <v>0</v>
      </c>
      <c r="D150" s="19">
        <v>0</v>
      </c>
      <c r="E150" s="28">
        <v>503</v>
      </c>
      <c r="F150" s="20" t="str">
        <f t="shared" si="4"/>
        <v>RIVERO RIVERO, JOSE ANTONIO</v>
      </c>
      <c r="G150" s="21"/>
      <c r="H150" s="28">
        <v>20</v>
      </c>
      <c r="I150" s="28">
        <v>2</v>
      </c>
      <c r="J150" s="28">
        <v>2</v>
      </c>
      <c r="K150" s="28">
        <v>2</v>
      </c>
      <c r="L150" s="26" t="s">
        <v>2216</v>
      </c>
      <c r="M150" s="26" t="s">
        <v>1927</v>
      </c>
      <c r="N150" s="26" t="s">
        <v>1927</v>
      </c>
      <c r="O150" s="26" t="s">
        <v>12</v>
      </c>
      <c r="P150" s="26" t="s">
        <v>12</v>
      </c>
      <c r="Q150" s="26">
        <v>0</v>
      </c>
      <c r="R150" s="34">
        <v>42719</v>
      </c>
      <c r="S150" s="34">
        <v>28474</v>
      </c>
      <c r="T150" s="35" t="s">
        <v>12</v>
      </c>
      <c r="U150" s="26"/>
      <c r="V150" s="26" t="s">
        <v>12</v>
      </c>
      <c r="W150" s="26"/>
      <c r="X150" s="26"/>
      <c r="Y150" s="26"/>
      <c r="Z150" s="26"/>
      <c r="AA150" s="26"/>
      <c r="AB150" s="26"/>
      <c r="AC150" s="34"/>
      <c r="AD150" s="26"/>
      <c r="AE150" s="26"/>
      <c r="AG150" s="22" t="str">
        <f t="shared" si="5"/>
        <v>EXECUTE [dbo].[PG_CI_OPERADOR] 0, 0, 0, 503, 'RIVERO RIVERO, JOSE ANTONIO' , '' , 20 , 2 , 2, 2,'JOSE ANTONIO', 'RIVERO', 'RIVERO' , 'N/A', 'N/A', '0', 12-15-2016, '12-15-1977','N/A','','N/A','','','','','','','01-00-1900', ,'''</v>
      </c>
      <c r="AH150" s="11"/>
    </row>
    <row r="151" spans="1:34" s="10" customFormat="1" x14ac:dyDescent="0.25">
      <c r="A151" s="18"/>
      <c r="B151" s="19">
        <v>0</v>
      </c>
      <c r="C151" s="19">
        <v>0</v>
      </c>
      <c r="D151" s="19">
        <v>0</v>
      </c>
      <c r="E151" s="28">
        <v>504</v>
      </c>
      <c r="F151" s="20" t="str">
        <f t="shared" si="4"/>
        <v xml:space="preserve">ABURTO MONTIEL, RAMON </v>
      </c>
      <c r="G151" s="21"/>
      <c r="H151" s="28">
        <v>20</v>
      </c>
      <c r="I151" s="28">
        <v>2</v>
      </c>
      <c r="J151" s="28">
        <v>3</v>
      </c>
      <c r="K151" s="28">
        <v>2</v>
      </c>
      <c r="L151" s="26" t="s">
        <v>2237</v>
      </c>
      <c r="M151" s="26" t="s">
        <v>1972</v>
      </c>
      <c r="N151" s="26" t="s">
        <v>1952</v>
      </c>
      <c r="O151" s="26" t="s">
        <v>977</v>
      </c>
      <c r="P151" s="26" t="s">
        <v>978</v>
      </c>
      <c r="Q151" s="26">
        <v>96018322386</v>
      </c>
      <c r="R151" s="34">
        <v>42713</v>
      </c>
      <c r="S151" s="34">
        <v>42726</v>
      </c>
      <c r="T151" s="35">
        <v>5547814736</v>
      </c>
      <c r="U151" s="26"/>
      <c r="V151" s="26" t="s">
        <v>979</v>
      </c>
      <c r="W151" s="26"/>
      <c r="X151" s="26"/>
      <c r="Y151" s="26"/>
      <c r="Z151" s="26"/>
      <c r="AA151" s="26"/>
      <c r="AB151" s="26"/>
      <c r="AC151" s="34"/>
      <c r="AD151" s="26"/>
      <c r="AE151" s="26"/>
      <c r="AG151" s="22" t="str">
        <f t="shared" si="5"/>
        <v>EXECUTE [dbo].[PG_CI_OPERADOR] 0, 0, 0, 504, 'ABURTO MONTIEL, RAMON ' , '' , 20 , 2 , 3, 2,'RAMON ', 'ABURTO', 'MONTIEL' , 'AUMR830412HG3', 'AUMR830412HDFBNM08', '96018322386', 12-09-2016, '12-22-2016','5547814736','','MIGUEL HIDALGO 16','','','','','','','01-00-1900', ,'''</v>
      </c>
      <c r="AH151" s="11"/>
    </row>
    <row r="152" spans="1:34" s="10" customFormat="1" x14ac:dyDescent="0.25">
      <c r="A152" s="18"/>
      <c r="B152" s="19">
        <v>0</v>
      </c>
      <c r="C152" s="19">
        <v>0</v>
      </c>
      <c r="D152" s="19">
        <v>0</v>
      </c>
      <c r="E152" s="28">
        <v>505</v>
      </c>
      <c r="F152" s="20" t="str">
        <f t="shared" si="4"/>
        <v xml:space="preserve">Aguilar MuÃ±oz, Sergio </v>
      </c>
      <c r="G152" s="21"/>
      <c r="H152" s="28">
        <v>22</v>
      </c>
      <c r="I152" s="28">
        <v>1</v>
      </c>
      <c r="J152" s="28">
        <v>0</v>
      </c>
      <c r="K152" s="28">
        <v>2</v>
      </c>
      <c r="L152" s="26" t="s">
        <v>2238</v>
      </c>
      <c r="M152" s="26" t="s">
        <v>1973</v>
      </c>
      <c r="N152" s="26" t="s">
        <v>1974</v>
      </c>
      <c r="O152" s="26" t="s">
        <v>986</v>
      </c>
      <c r="P152" s="26" t="s">
        <v>987</v>
      </c>
      <c r="Q152" s="26">
        <v>49835812071</v>
      </c>
      <c r="R152" s="34">
        <v>42628</v>
      </c>
      <c r="S152" s="34">
        <v>21297</v>
      </c>
      <c r="T152" s="35"/>
      <c r="U152" s="26"/>
      <c r="V152" s="26"/>
      <c r="W152" s="26"/>
      <c r="X152" s="26"/>
      <c r="Y152" s="26"/>
      <c r="Z152" s="26"/>
      <c r="AA152" s="26"/>
      <c r="AB152" s="26"/>
      <c r="AC152" s="34"/>
      <c r="AD152" s="26"/>
      <c r="AE152" s="26"/>
      <c r="AG152" s="22" t="str">
        <f t="shared" si="5"/>
        <v>EXECUTE [dbo].[PG_CI_OPERADOR] 0, 0, 0, 505, 'Aguilar MuÃ±oz, Sergio ' , '' , 22 , 1 , 0, 2,'Sergio ', 'Aguilar', 'MuÃ±oz' , 'AUMS580422R74', 'AUMS580422HPLGXR06', '49835812071', 09-15-2016, '04-22-1958','','','','','','','','','','01-00-1900', ,'''</v>
      </c>
      <c r="AH152" s="11"/>
    </row>
    <row r="153" spans="1:34" s="10" customFormat="1" x14ac:dyDescent="0.25">
      <c r="A153" s="18"/>
      <c r="B153" s="19">
        <v>0</v>
      </c>
      <c r="C153" s="19">
        <v>0</v>
      </c>
      <c r="D153" s="19">
        <v>0</v>
      </c>
      <c r="E153" s="28">
        <v>506</v>
      </c>
      <c r="F153" s="20" t="str">
        <f t="shared" si="4"/>
        <v xml:space="preserve">Aguilar Amador, Hugo </v>
      </c>
      <c r="G153" s="21"/>
      <c r="H153" s="28">
        <v>22</v>
      </c>
      <c r="I153" s="28">
        <v>1</v>
      </c>
      <c r="J153" s="28">
        <v>0</v>
      </c>
      <c r="K153" s="28">
        <v>2</v>
      </c>
      <c r="L153" s="26" t="s">
        <v>2239</v>
      </c>
      <c r="M153" s="26" t="s">
        <v>1973</v>
      </c>
      <c r="N153" s="26" t="s">
        <v>1976</v>
      </c>
      <c r="O153" s="26" t="s">
        <v>991</v>
      </c>
      <c r="P153" s="26" t="s">
        <v>992</v>
      </c>
      <c r="Q153" s="26">
        <v>48018006493</v>
      </c>
      <c r="R153" s="34">
        <v>42572</v>
      </c>
      <c r="S153" s="34">
        <v>29340</v>
      </c>
      <c r="T153" s="35"/>
      <c r="U153" s="26"/>
      <c r="V153" s="26"/>
      <c r="W153" s="26"/>
      <c r="X153" s="26"/>
      <c r="Y153" s="26"/>
      <c r="Z153" s="26"/>
      <c r="AA153" s="26"/>
      <c r="AB153" s="26"/>
      <c r="AC153" s="34"/>
      <c r="AD153" s="26"/>
      <c r="AE153" s="26"/>
      <c r="AG153" s="22" t="str">
        <f t="shared" si="5"/>
        <v>EXECUTE [dbo].[PG_CI_OPERADOR] 0, 0, 0, 506, 'Aguilar Amador, Hugo ' , '' , 22 , 1 , 0, 2,'Hugo ', 'Aguilar', 'Amador' , 'AUAH8004295K0', 'AUAH800429HPLGMG01', '48018006493', 07-21-2016, '04-29-1980','','','','','','','','','','01-00-1900', ,'''</v>
      </c>
      <c r="AH153" s="11"/>
    </row>
    <row r="154" spans="1:34" s="10" customFormat="1" x14ac:dyDescent="0.25">
      <c r="A154" s="18"/>
      <c r="B154" s="19">
        <v>0</v>
      </c>
      <c r="C154" s="19">
        <v>0</v>
      </c>
      <c r="D154" s="19">
        <v>0</v>
      </c>
      <c r="E154" s="28">
        <v>507</v>
      </c>
      <c r="F154" s="20" t="str">
        <f t="shared" si="4"/>
        <v xml:space="preserve">Aguilar Amador, Sergio </v>
      </c>
      <c r="G154" s="21"/>
      <c r="H154" s="28">
        <v>22</v>
      </c>
      <c r="I154" s="28">
        <v>1</v>
      </c>
      <c r="J154" s="28">
        <v>0</v>
      </c>
      <c r="K154" s="28">
        <v>2</v>
      </c>
      <c r="L154" s="26" t="s">
        <v>2238</v>
      </c>
      <c r="M154" s="26" t="s">
        <v>1973</v>
      </c>
      <c r="N154" s="26" t="s">
        <v>1976</v>
      </c>
      <c r="O154" s="26" t="s">
        <v>995</v>
      </c>
      <c r="P154" s="26" t="s">
        <v>996</v>
      </c>
      <c r="Q154" s="26">
        <v>32058112338</v>
      </c>
      <c r="R154" s="34">
        <v>42705</v>
      </c>
      <c r="S154" s="34">
        <v>30578</v>
      </c>
      <c r="T154" s="35"/>
      <c r="U154" s="26"/>
      <c r="V154" s="26"/>
      <c r="W154" s="26"/>
      <c r="X154" s="26"/>
      <c r="Y154" s="26"/>
      <c r="Z154" s="26"/>
      <c r="AA154" s="26"/>
      <c r="AB154" s="26"/>
      <c r="AC154" s="34"/>
      <c r="AD154" s="26"/>
      <c r="AE154" s="26"/>
      <c r="AG154" s="22" t="str">
        <f t="shared" si="5"/>
        <v>EXECUTE [dbo].[PG_CI_OPERADOR] 0, 0, 0, 507, 'Aguilar Amador, Sergio ' , '' , 22 , 1 , 0, 2,'Sergio ', 'Aguilar', 'Amador' , 'AUAS830919FG7', 'AUAS830919HPLGMR01', '32058112338', 12-01-2016, '09-19-1983','','','','','','','','','','01-00-1900', ,'''</v>
      </c>
      <c r="AH154" s="11"/>
    </row>
    <row r="155" spans="1:34" s="10" customFormat="1" x14ac:dyDescent="0.25">
      <c r="A155" s="18"/>
      <c r="B155" s="19">
        <v>0</v>
      </c>
      <c r="C155" s="19">
        <v>0</v>
      </c>
      <c r="D155" s="19">
        <v>0</v>
      </c>
      <c r="E155" s="28">
        <v>508</v>
      </c>
      <c r="F155" s="20" t="str">
        <f t="shared" si="4"/>
        <v>Alcantar Porras, Polo Armando</v>
      </c>
      <c r="G155" s="21"/>
      <c r="H155" s="28">
        <v>26</v>
      </c>
      <c r="I155" s="28">
        <v>1</v>
      </c>
      <c r="J155" s="28">
        <v>0</v>
      </c>
      <c r="K155" s="28">
        <v>2</v>
      </c>
      <c r="L155" s="26" t="s">
        <v>2240</v>
      </c>
      <c r="M155" s="26" t="s">
        <v>1978</v>
      </c>
      <c r="N155" s="26" t="s">
        <v>1979</v>
      </c>
      <c r="O155" s="26" t="s">
        <v>999</v>
      </c>
      <c r="P155" s="26" t="s">
        <v>1000</v>
      </c>
      <c r="Q155" s="26">
        <v>33947132032</v>
      </c>
      <c r="R155" s="34">
        <v>42006</v>
      </c>
      <c r="S155" s="34">
        <v>26220</v>
      </c>
      <c r="T155" s="35"/>
      <c r="U155" s="26"/>
      <c r="V155" s="26"/>
      <c r="W155" s="26"/>
      <c r="X155" s="26"/>
      <c r="Y155" s="26"/>
      <c r="Z155" s="26"/>
      <c r="AA155" s="26"/>
      <c r="AB155" s="26"/>
      <c r="AC155" s="34"/>
      <c r="AD155" s="26"/>
      <c r="AE155" s="26"/>
      <c r="AG155" s="22" t="str">
        <f t="shared" si="5"/>
        <v>EXECUTE [dbo].[PG_CI_OPERADOR] 0, 0, 0, 508, 'Alcantar Porras, Polo Armando' , '' , 26 , 1 , 0, 2,'Polo Armando', 'Alcantar', 'Porras' , 'AAPP711014G11', 'AAPP711014HCHLRL03', '33947132032', 01-02-2015, '10-14-1971','','','','','','','','','','01-00-1900', ,'''</v>
      </c>
      <c r="AH155" s="11"/>
    </row>
    <row r="156" spans="1:34" s="10" customFormat="1" x14ac:dyDescent="0.25">
      <c r="A156" s="18"/>
      <c r="B156" s="19">
        <v>0</v>
      </c>
      <c r="C156" s="19">
        <v>0</v>
      </c>
      <c r="D156" s="19">
        <v>0</v>
      </c>
      <c r="E156" s="28">
        <v>509</v>
      </c>
      <c r="F156" s="20" t="str">
        <f t="shared" si="4"/>
        <v>Banda Juarez, Arturo Elias</v>
      </c>
      <c r="G156" s="21"/>
      <c r="H156" s="28">
        <v>26</v>
      </c>
      <c r="I156" s="28">
        <v>1</v>
      </c>
      <c r="J156" s="28">
        <v>0</v>
      </c>
      <c r="K156" s="28">
        <v>2</v>
      </c>
      <c r="L156" s="26" t="s">
        <v>2241</v>
      </c>
      <c r="M156" s="26" t="s">
        <v>1982</v>
      </c>
      <c r="N156" s="26" t="s">
        <v>1983</v>
      </c>
      <c r="O156" s="26" t="s">
        <v>1002</v>
      </c>
      <c r="P156" s="26" t="s">
        <v>1003</v>
      </c>
      <c r="Q156" s="26">
        <v>33917442130</v>
      </c>
      <c r="R156" s="34">
        <v>42586</v>
      </c>
      <c r="S156" s="34">
        <v>27137</v>
      </c>
      <c r="T156" s="35"/>
      <c r="U156" s="26"/>
      <c r="V156" s="26"/>
      <c r="W156" s="26"/>
      <c r="X156" s="26"/>
      <c r="Y156" s="26"/>
      <c r="Z156" s="26"/>
      <c r="AA156" s="26"/>
      <c r="AB156" s="26"/>
      <c r="AC156" s="34"/>
      <c r="AD156" s="26"/>
      <c r="AE156" s="26"/>
      <c r="AG156" s="22" t="str">
        <f t="shared" si="5"/>
        <v>EXECUTE [dbo].[PG_CI_OPERADOR] 0, 0, 0, 509, 'Banda Juarez, Arturo Elias' , '' , 26 , 1 , 0, 2,'Arturo Elias', 'Banda', 'Juarez' , 'BAJA740418QEA', 'BAJA740418HCHNTT09', '33917442130', 08-04-2016, '04-18-1974','','','','','','','','','','01-00-1900', ,'''</v>
      </c>
      <c r="AH156" s="11"/>
    </row>
    <row r="157" spans="1:34" s="10" customFormat="1" x14ac:dyDescent="0.25">
      <c r="A157" s="18"/>
      <c r="B157" s="19">
        <v>0</v>
      </c>
      <c r="C157" s="19">
        <v>0</v>
      </c>
      <c r="D157" s="19">
        <v>0</v>
      </c>
      <c r="E157" s="28">
        <v>510</v>
      </c>
      <c r="F157" s="20" t="str">
        <f t="shared" si="4"/>
        <v xml:space="preserve">Carrillo Castro, Oscar </v>
      </c>
      <c r="G157" s="21"/>
      <c r="H157" s="28">
        <v>25</v>
      </c>
      <c r="I157" s="28">
        <v>1</v>
      </c>
      <c r="J157" s="28">
        <v>0</v>
      </c>
      <c r="K157" s="28">
        <v>2</v>
      </c>
      <c r="L157" s="26" t="s">
        <v>2242</v>
      </c>
      <c r="M157" s="26" t="s">
        <v>1986</v>
      </c>
      <c r="N157" s="26" t="s">
        <v>1987</v>
      </c>
      <c r="O157" s="26" t="s">
        <v>1006</v>
      </c>
      <c r="P157" s="26" t="s">
        <v>183</v>
      </c>
      <c r="Q157" s="26">
        <v>24886911684</v>
      </c>
      <c r="R157" s="34">
        <v>42537</v>
      </c>
      <c r="S157" s="34">
        <v>25237</v>
      </c>
      <c r="T157" s="35"/>
      <c r="U157" s="26"/>
      <c r="V157" s="26"/>
      <c r="W157" s="26"/>
      <c r="X157" s="26"/>
      <c r="Y157" s="26"/>
      <c r="Z157" s="26"/>
      <c r="AA157" s="26"/>
      <c r="AB157" s="26"/>
      <c r="AC157" s="34"/>
      <c r="AD157" s="26"/>
      <c r="AE157" s="26"/>
      <c r="AG157" s="22" t="str">
        <f t="shared" si="5"/>
        <v>EXECUTE [dbo].[PG_CI_OPERADOR] 0, 0, 0, 510, 'Carrillo Castro, Oscar ' , '' , 25 , 1 , 0, 2,'Oscar ', 'Carrillo', 'Castro' , 'CACO690203FN3', 'CXCO690203HSRRSS09', '24886911684', 06-16-2016, '02-03-1969','','','','','','','','','','01-00-1900', ,'''</v>
      </c>
      <c r="AH157" s="11"/>
    </row>
    <row r="158" spans="1:34" s="10" customFormat="1" x14ac:dyDescent="0.25">
      <c r="A158" s="18"/>
      <c r="B158" s="19">
        <v>0</v>
      </c>
      <c r="C158" s="19">
        <v>0</v>
      </c>
      <c r="D158" s="19">
        <v>0</v>
      </c>
      <c r="E158" s="28">
        <v>513</v>
      </c>
      <c r="F158" s="20" t="str">
        <f t="shared" si="4"/>
        <v>Martinez Alvarez, Jose Luis</v>
      </c>
      <c r="G158" s="21"/>
      <c r="H158" s="28">
        <v>22</v>
      </c>
      <c r="I158" s="28">
        <v>1</v>
      </c>
      <c r="J158" s="28">
        <v>0</v>
      </c>
      <c r="K158" s="28">
        <v>2</v>
      </c>
      <c r="L158" s="26" t="s">
        <v>2243</v>
      </c>
      <c r="M158" s="26" t="s">
        <v>1989</v>
      </c>
      <c r="N158" s="26" t="s">
        <v>1990</v>
      </c>
      <c r="O158" s="26" t="s">
        <v>1009</v>
      </c>
      <c r="P158" s="26" t="s">
        <v>1010</v>
      </c>
      <c r="Q158" s="26" t="s">
        <v>1008</v>
      </c>
      <c r="R158" s="34">
        <v>42648</v>
      </c>
      <c r="S158" s="34">
        <v>24874</v>
      </c>
      <c r="T158" s="35"/>
      <c r="U158" s="26"/>
      <c r="V158" s="26"/>
      <c r="W158" s="26"/>
      <c r="X158" s="26"/>
      <c r="Y158" s="26"/>
      <c r="Z158" s="26"/>
      <c r="AA158" s="26"/>
      <c r="AB158" s="26"/>
      <c r="AC158" s="34"/>
      <c r="AD158" s="26"/>
      <c r="AE158" s="26"/>
      <c r="AG158" s="22" t="str">
        <f t="shared" si="5"/>
        <v>EXECUTE [dbo].[PG_CI_OPERADOR] 0, 0, 0, 513, 'Martinez Alvarez, Jose Luis' , '' , 22 , 1 , 0, 2,'Jose Luis', 'Martinez', 'Alvarez' , 'MAAL680206NZ2', 'MAAL680206HDFRLS07', 'Â´06856800013', 10-05-2016, '02-06-1968','','','','','','','','','','01-00-1900', ,'''</v>
      </c>
      <c r="AH158" s="11"/>
    </row>
    <row r="159" spans="1:34" s="10" customFormat="1" x14ac:dyDescent="0.25">
      <c r="A159" s="18"/>
      <c r="B159" s="19">
        <v>0</v>
      </c>
      <c r="C159" s="19">
        <v>0</v>
      </c>
      <c r="D159" s="19">
        <v>0</v>
      </c>
      <c r="E159" s="28">
        <v>514</v>
      </c>
      <c r="F159" s="20" t="str">
        <f t="shared" si="4"/>
        <v xml:space="preserve">Martinez Martinez, Roman </v>
      </c>
      <c r="G159" s="21"/>
      <c r="H159" s="28">
        <v>22</v>
      </c>
      <c r="I159" s="28">
        <v>1</v>
      </c>
      <c r="J159" s="28">
        <v>0</v>
      </c>
      <c r="K159" s="28">
        <v>2</v>
      </c>
      <c r="L159" s="26" t="s">
        <v>2244</v>
      </c>
      <c r="M159" s="26" t="s">
        <v>1989</v>
      </c>
      <c r="N159" s="26" t="s">
        <v>1989</v>
      </c>
      <c r="O159" s="26" t="s">
        <v>1013</v>
      </c>
      <c r="P159" s="26" t="s">
        <v>1014</v>
      </c>
      <c r="Q159" s="26" t="s">
        <v>1012</v>
      </c>
      <c r="R159" s="34">
        <v>42698</v>
      </c>
      <c r="S159" s="34">
        <v>27562</v>
      </c>
      <c r="T159" s="35"/>
      <c r="U159" s="26"/>
      <c r="V159" s="26"/>
      <c r="W159" s="26"/>
      <c r="X159" s="26"/>
      <c r="Y159" s="26"/>
      <c r="Z159" s="26"/>
      <c r="AA159" s="26"/>
      <c r="AB159" s="26"/>
      <c r="AC159" s="34"/>
      <c r="AD159" s="26"/>
      <c r="AE159" s="26"/>
      <c r="AG159" s="22" t="str">
        <f t="shared" si="5"/>
        <v>EXECUTE [dbo].[PG_CI_OPERADOR] 0, 0, 0, 514, 'Martinez Martinez, Roman ' , '' , 22 , 1 , 0, 2,'Roman ', 'Martinez', 'Martinez' , 'MAMR750617TY5', 'MAMR750617HPLRRM08', 'Â´02937302640', 11-24-2016, '06-17-1975','','','','','','','','','','01-00-1900', ,'''</v>
      </c>
      <c r="AH159" s="11"/>
    </row>
    <row r="160" spans="1:34" s="10" customFormat="1" x14ac:dyDescent="0.25">
      <c r="A160" s="18"/>
      <c r="B160" s="19">
        <v>0</v>
      </c>
      <c r="C160" s="19">
        <v>0</v>
      </c>
      <c r="D160" s="19">
        <v>0</v>
      </c>
      <c r="E160" s="28">
        <v>515</v>
      </c>
      <c r="F160" s="20" t="str">
        <f t="shared" si="4"/>
        <v>Miranda Armenta, Manuel Remberto</v>
      </c>
      <c r="G160" s="21"/>
      <c r="H160" s="28">
        <v>25</v>
      </c>
      <c r="I160" s="28">
        <v>1</v>
      </c>
      <c r="J160" s="28">
        <v>0</v>
      </c>
      <c r="K160" s="28">
        <v>2</v>
      </c>
      <c r="L160" s="26" t="s">
        <v>2245</v>
      </c>
      <c r="M160" s="26" t="s">
        <v>1994</v>
      </c>
      <c r="N160" s="26" t="s">
        <v>1995</v>
      </c>
      <c r="O160" s="26" t="s">
        <v>1016</v>
      </c>
      <c r="P160" s="26" t="s">
        <v>404</v>
      </c>
      <c r="Q160" s="26">
        <v>24917595498</v>
      </c>
      <c r="R160" s="34">
        <v>42537</v>
      </c>
      <c r="S160" s="34">
        <v>27500</v>
      </c>
      <c r="T160" s="35"/>
      <c r="U160" s="26"/>
      <c r="V160" s="26"/>
      <c r="W160" s="26"/>
      <c r="X160" s="26"/>
      <c r="Y160" s="26"/>
      <c r="Z160" s="26"/>
      <c r="AA160" s="26"/>
      <c r="AB160" s="26"/>
      <c r="AC160" s="34"/>
      <c r="AD160" s="26"/>
      <c r="AE160" s="26"/>
      <c r="AG160" s="22" t="str">
        <f t="shared" si="5"/>
        <v>EXECUTE [dbo].[PG_CI_OPERADOR] 0, 0, 0, 515, 'Miranda Armenta, Manuel Remberto' , '' , 25 , 1 , 0, 2,'Manuel Remberto', 'Miranda', 'Armenta' , 'MIAM7504161V1', 'MIAM750416HSRRRN09', '24917595498', 06-16-2016, '04-16-1975','','','','','','','','','','01-00-1900', ,'''</v>
      </c>
      <c r="AH160" s="11"/>
    </row>
    <row r="161" spans="1:34" s="10" customFormat="1" x14ac:dyDescent="0.25">
      <c r="A161" s="18"/>
      <c r="B161" s="19">
        <v>0</v>
      </c>
      <c r="C161" s="19">
        <v>0</v>
      </c>
      <c r="D161" s="19">
        <v>0</v>
      </c>
      <c r="E161" s="28">
        <v>516</v>
      </c>
      <c r="F161" s="20" t="str">
        <f t="shared" si="4"/>
        <v>Moreno Castro, Juan Manuel</v>
      </c>
      <c r="G161" s="21"/>
      <c r="H161" s="28">
        <v>25</v>
      </c>
      <c r="I161" s="28">
        <v>1</v>
      </c>
      <c r="J161" s="28">
        <v>0</v>
      </c>
      <c r="K161" s="28">
        <v>2</v>
      </c>
      <c r="L161" s="26" t="s">
        <v>2246</v>
      </c>
      <c r="M161" s="26" t="s">
        <v>1998</v>
      </c>
      <c r="N161" s="26" t="s">
        <v>1987</v>
      </c>
      <c r="O161" s="26" t="s">
        <v>580</v>
      </c>
      <c r="P161" s="26" t="s">
        <v>581</v>
      </c>
      <c r="Q161" s="26">
        <v>25977931150</v>
      </c>
      <c r="R161" s="34">
        <v>42313</v>
      </c>
      <c r="S161" s="34">
        <v>29964</v>
      </c>
      <c r="T161" s="35"/>
      <c r="U161" s="26"/>
      <c r="V161" s="26"/>
      <c r="W161" s="26"/>
      <c r="X161" s="26"/>
      <c r="Y161" s="26"/>
      <c r="Z161" s="26"/>
      <c r="AA161" s="26"/>
      <c r="AB161" s="26"/>
      <c r="AC161" s="34"/>
      <c r="AD161" s="26"/>
      <c r="AE161" s="26"/>
      <c r="AG161" s="22" t="str">
        <f t="shared" si="5"/>
        <v>EXECUTE [dbo].[PG_CI_OPERADOR] 0, 0, 0, 516, 'Moreno Castro, Juan Manuel' , '' , 25 , 1 , 0, 2,'Juan Manuel', 'Moreno', 'Castro' , 'MOCJ820113L58', 'MOCJ820113HBCRSN06', '25977931150', 11-05-2015, '01-13-1982','','','','','','','','','','01-00-1900', ,'''</v>
      </c>
      <c r="AH161" s="11"/>
    </row>
    <row r="162" spans="1:34" s="10" customFormat="1" x14ac:dyDescent="0.25">
      <c r="A162" s="18"/>
      <c r="B162" s="19">
        <v>0</v>
      </c>
      <c r="C162" s="19">
        <v>0</v>
      </c>
      <c r="D162" s="19">
        <v>0</v>
      </c>
      <c r="E162" s="28">
        <v>517</v>
      </c>
      <c r="F162" s="20" t="str">
        <f t="shared" si="4"/>
        <v>MuÃ±oz Gomez, Lucio Arturo</v>
      </c>
      <c r="G162" s="21"/>
      <c r="H162" s="28">
        <v>23</v>
      </c>
      <c r="I162" s="28">
        <v>1</v>
      </c>
      <c r="J162" s="28">
        <v>0</v>
      </c>
      <c r="K162" s="28">
        <v>2</v>
      </c>
      <c r="L162" s="26" t="s">
        <v>2247</v>
      </c>
      <c r="M162" s="26" t="s">
        <v>1974</v>
      </c>
      <c r="N162" s="26" t="s">
        <v>2000</v>
      </c>
      <c r="O162" s="26" t="s">
        <v>1020</v>
      </c>
      <c r="P162" s="26" t="s">
        <v>707</v>
      </c>
      <c r="Q162" s="26">
        <v>21877006581</v>
      </c>
      <c r="R162" s="34">
        <v>42642</v>
      </c>
      <c r="S162" s="34">
        <v>25917</v>
      </c>
      <c r="T162" s="35"/>
      <c r="U162" s="26"/>
      <c r="V162" s="26"/>
      <c r="W162" s="26"/>
      <c r="X162" s="26"/>
      <c r="Y162" s="26"/>
      <c r="Z162" s="26"/>
      <c r="AA162" s="26"/>
      <c r="AB162" s="26"/>
      <c r="AC162" s="34"/>
      <c r="AD162" s="26"/>
      <c r="AE162" s="26"/>
      <c r="AG162" s="22" t="str">
        <f t="shared" si="5"/>
        <v>EXECUTE [dbo].[PG_CI_OPERADOR] 0, 0, 0, 517, 'MuÃ±oz Gomez, Lucio Arturo' , '' , 23 , 1 , 0, 2,'Lucio Arturo', 'MuÃ±oz', 'Gomez' , 'MUGL7012155U2', 'MUGL701215HDGXMC02', '21877006581', 09-29-2016, '12-15-1970','','','','','','','','','','01-00-1900', ,'''</v>
      </c>
      <c r="AH162" s="11"/>
    </row>
    <row r="163" spans="1:34" s="10" customFormat="1" x14ac:dyDescent="0.25">
      <c r="A163" s="18"/>
      <c r="B163" s="19">
        <v>0</v>
      </c>
      <c r="C163" s="19">
        <v>0</v>
      </c>
      <c r="D163" s="19">
        <v>0</v>
      </c>
      <c r="E163" s="28">
        <v>518</v>
      </c>
      <c r="F163" s="20" t="str">
        <f t="shared" si="4"/>
        <v xml:space="preserve">Pedraza Estrada, Domingo </v>
      </c>
      <c r="G163" s="21"/>
      <c r="H163" s="28">
        <v>22</v>
      </c>
      <c r="I163" s="28">
        <v>1</v>
      </c>
      <c r="J163" s="28">
        <v>0</v>
      </c>
      <c r="K163" s="28">
        <v>2</v>
      </c>
      <c r="L163" s="26" t="s">
        <v>2248</v>
      </c>
      <c r="M163" s="26" t="s">
        <v>2002</v>
      </c>
      <c r="N163" s="26" t="s">
        <v>2003</v>
      </c>
      <c r="O163" s="26" t="s">
        <v>1022</v>
      </c>
      <c r="P163" s="26" t="s">
        <v>1023</v>
      </c>
      <c r="Q163" s="26">
        <v>14916788689</v>
      </c>
      <c r="R163" s="34">
        <v>42648</v>
      </c>
      <c r="S163" s="34">
        <v>24688</v>
      </c>
      <c r="T163" s="35"/>
      <c r="U163" s="26"/>
      <c r="V163" s="26"/>
      <c r="W163" s="26"/>
      <c r="X163" s="26"/>
      <c r="Y163" s="26"/>
      <c r="Z163" s="26"/>
      <c r="AA163" s="26"/>
      <c r="AB163" s="26"/>
      <c r="AC163" s="34"/>
      <c r="AD163" s="26"/>
      <c r="AE163" s="26"/>
      <c r="AG163" s="22" t="str">
        <f t="shared" si="5"/>
        <v>EXECUTE [dbo].[PG_CI_OPERADOR] 0, 0, 0, 518, 'Pedraza Estrada, Domingo ' , '' , 22 , 1 , 0, 2,'Domingo ', 'Pedraza', 'Estrada' , 'PEED670804SN3', 'PEED670804HHGDSM08', '14916788689', 10-05-2016, '08-04-1967','','','','','','','','','','01-00-1900', ,'''</v>
      </c>
      <c r="AH163" s="11"/>
    </row>
    <row r="164" spans="1:34" s="10" customFormat="1" x14ac:dyDescent="0.25">
      <c r="A164" s="18"/>
      <c r="B164" s="19">
        <v>0</v>
      </c>
      <c r="C164" s="19">
        <v>0</v>
      </c>
      <c r="D164" s="19">
        <v>0</v>
      </c>
      <c r="E164" s="28">
        <v>519</v>
      </c>
      <c r="F164" s="20" t="str">
        <f t="shared" si="4"/>
        <v xml:space="preserve">Roman Nieva, Luis </v>
      </c>
      <c r="G164" s="21"/>
      <c r="H164" s="28">
        <v>22</v>
      </c>
      <c r="I164" s="28">
        <v>1</v>
      </c>
      <c r="J164" s="28">
        <v>0</v>
      </c>
      <c r="K164" s="28">
        <v>2</v>
      </c>
      <c r="L164" s="26" t="s">
        <v>2249</v>
      </c>
      <c r="M164" s="26" t="s">
        <v>1993</v>
      </c>
      <c r="N164" s="26" t="s">
        <v>2005</v>
      </c>
      <c r="O164" s="26" t="s">
        <v>1025</v>
      </c>
      <c r="P164" s="26" t="s">
        <v>1026</v>
      </c>
      <c r="Q164" s="26">
        <v>94936601742</v>
      </c>
      <c r="R164" s="34">
        <v>42648</v>
      </c>
      <c r="S164" s="34">
        <v>24120</v>
      </c>
      <c r="T164" s="35"/>
      <c r="U164" s="26"/>
      <c r="V164" s="26"/>
      <c r="W164" s="26"/>
      <c r="X164" s="26"/>
      <c r="Y164" s="26"/>
      <c r="Z164" s="26"/>
      <c r="AA164" s="26"/>
      <c r="AB164" s="26"/>
      <c r="AC164" s="34"/>
      <c r="AD164" s="26"/>
      <c r="AE164" s="26"/>
      <c r="AG164" s="22" t="str">
        <f t="shared" si="5"/>
        <v>EXECUTE [dbo].[PG_CI_OPERADOR] 0, 0, 0, 519, 'Roman Nieva, Luis ' , '' , 22 , 1 , 0, 2,'Luis ', 'Roman', 'Nieva' , 'RONL660113PL3', 'RONL660113HPLMVS09', '94936601742', 10-05-2016, '01-13-1966','','','','','','','','','','01-00-1900', ,'''</v>
      </c>
      <c r="AH164" s="11"/>
    </row>
    <row r="165" spans="1:34" s="10" customFormat="1" x14ac:dyDescent="0.25">
      <c r="A165" s="18"/>
      <c r="B165" s="19">
        <v>0</v>
      </c>
      <c r="C165" s="19">
        <v>0</v>
      </c>
      <c r="D165" s="19">
        <v>0</v>
      </c>
      <c r="E165" s="28">
        <v>520</v>
      </c>
      <c r="F165" s="20" t="str">
        <f t="shared" si="4"/>
        <v xml:space="preserve">Tlaseca Quiroz, Jose </v>
      </c>
      <c r="G165" s="21"/>
      <c r="H165" s="28">
        <v>22</v>
      </c>
      <c r="I165" s="28">
        <v>1</v>
      </c>
      <c r="J165" s="28">
        <v>0</v>
      </c>
      <c r="K165" s="28">
        <v>2</v>
      </c>
      <c r="L165" s="26" t="s">
        <v>2250</v>
      </c>
      <c r="M165" s="26" t="s">
        <v>2006</v>
      </c>
      <c r="N165" s="26" t="s">
        <v>2007</v>
      </c>
      <c r="O165" s="26" t="s">
        <v>1028</v>
      </c>
      <c r="P165" s="26" t="s">
        <v>1029</v>
      </c>
      <c r="Q165" s="26">
        <v>94936101289</v>
      </c>
      <c r="R165" s="34">
        <v>42538</v>
      </c>
      <c r="S165" s="34">
        <v>24890</v>
      </c>
      <c r="T165" s="35"/>
      <c r="U165" s="26"/>
      <c r="V165" s="26"/>
      <c r="W165" s="26"/>
      <c r="X165" s="26"/>
      <c r="Y165" s="26"/>
      <c r="Z165" s="26"/>
      <c r="AA165" s="26"/>
      <c r="AB165" s="26"/>
      <c r="AC165" s="34"/>
      <c r="AD165" s="26"/>
      <c r="AE165" s="26"/>
      <c r="AG165" s="22" t="str">
        <f t="shared" si="5"/>
        <v>EXECUTE [dbo].[PG_CI_OPERADOR] 0, 0, 0, 520, 'Tlaseca Quiroz, Jose ' , '' , 22 , 1 , 0, 2,'Jose ', 'Tlaseca', 'Quiroz' , 'TAQJ680222AD9', 'TAQJ680222HPLLRS07', '94936101289', 06-17-2016, '02-22-1968','','','','','','','','','','01-00-1900', ,'''</v>
      </c>
      <c r="AH165" s="11"/>
    </row>
    <row r="166" spans="1:34" s="10" customFormat="1" x14ac:dyDescent="0.25">
      <c r="A166" s="18"/>
      <c r="B166" s="19">
        <v>0</v>
      </c>
      <c r="C166" s="19">
        <v>0</v>
      </c>
      <c r="D166" s="19">
        <v>0</v>
      </c>
      <c r="E166" s="28">
        <v>521</v>
      </c>
      <c r="F166" s="20" t="str">
        <f t="shared" si="4"/>
        <v xml:space="preserve">GARDUÃ‘O CRUZ, HECTOR </v>
      </c>
      <c r="G166" s="21"/>
      <c r="H166" s="28">
        <v>20</v>
      </c>
      <c r="I166" s="28">
        <v>1</v>
      </c>
      <c r="J166" s="28">
        <v>2</v>
      </c>
      <c r="K166" s="28">
        <v>2</v>
      </c>
      <c r="L166" s="26" t="s">
        <v>2251</v>
      </c>
      <c r="M166" s="26" t="s">
        <v>2008</v>
      </c>
      <c r="N166" s="26" t="s">
        <v>1699</v>
      </c>
      <c r="O166" s="26" t="s">
        <v>1032</v>
      </c>
      <c r="P166" s="26" t="s">
        <v>1033</v>
      </c>
      <c r="Q166" s="26">
        <v>20977810462</v>
      </c>
      <c r="R166" s="34">
        <v>42725</v>
      </c>
      <c r="S166" s="34">
        <v>28492</v>
      </c>
      <c r="T166" s="35">
        <v>445546475164</v>
      </c>
      <c r="U166" s="26"/>
      <c r="V166" s="26" t="s">
        <v>1034</v>
      </c>
      <c r="W166" s="26"/>
      <c r="X166" s="26"/>
      <c r="Y166" s="26"/>
      <c r="Z166" s="26"/>
      <c r="AA166" s="26"/>
      <c r="AB166" s="26"/>
      <c r="AC166" s="34"/>
      <c r="AD166" s="26"/>
      <c r="AE166" s="26"/>
      <c r="AG166" s="22"/>
      <c r="AH166" s="11"/>
    </row>
    <row r="167" spans="1:34" s="10" customFormat="1" x14ac:dyDescent="0.25">
      <c r="A167" s="18"/>
      <c r="B167" s="19">
        <v>0</v>
      </c>
      <c r="C167" s="19">
        <v>0</v>
      </c>
      <c r="D167" s="19">
        <v>0</v>
      </c>
      <c r="E167" s="28">
        <v>522</v>
      </c>
      <c r="F167" s="20" t="str">
        <f t="shared" si="4"/>
        <v xml:space="preserve">MORALES HUESCA, JORGE </v>
      </c>
      <c r="G167" s="21"/>
      <c r="H167" s="28">
        <v>20</v>
      </c>
      <c r="I167" s="28">
        <v>2</v>
      </c>
      <c r="J167" s="28">
        <v>2</v>
      </c>
      <c r="K167" s="28">
        <v>2</v>
      </c>
      <c r="L167" s="26" t="s">
        <v>2158</v>
      </c>
      <c r="M167" s="26" t="s">
        <v>1822</v>
      </c>
      <c r="N167" s="26" t="s">
        <v>2009</v>
      </c>
      <c r="O167" s="26" t="s">
        <v>1038</v>
      </c>
      <c r="P167" s="26" t="s">
        <v>1039</v>
      </c>
      <c r="Q167" s="26">
        <v>67987801395</v>
      </c>
      <c r="R167" s="34">
        <v>42725</v>
      </c>
      <c r="S167" s="34">
        <v>29397</v>
      </c>
      <c r="T167" s="35">
        <v>5510705102</v>
      </c>
      <c r="U167" s="26"/>
      <c r="V167" s="26" t="s">
        <v>1040</v>
      </c>
      <c r="W167" s="26"/>
      <c r="X167" s="26"/>
      <c r="Y167" s="26"/>
      <c r="Z167" s="26"/>
      <c r="AA167" s="26"/>
      <c r="AB167" s="26"/>
      <c r="AC167" s="34"/>
      <c r="AD167" s="26"/>
      <c r="AE167" s="26"/>
      <c r="AG167" s="22"/>
      <c r="AH167" s="11"/>
    </row>
    <row r="168" spans="1:34" s="10" customFormat="1" x14ac:dyDescent="0.25">
      <c r="A168" s="18"/>
      <c r="B168" s="19">
        <v>0</v>
      </c>
      <c r="C168" s="19">
        <v>0</v>
      </c>
      <c r="D168" s="19">
        <v>0</v>
      </c>
      <c r="E168" s="28">
        <v>523</v>
      </c>
      <c r="F168" s="20" t="str">
        <f t="shared" si="4"/>
        <v xml:space="preserve">REYNOSO GUERRERO, JOSE </v>
      </c>
      <c r="G168" s="21"/>
      <c r="H168" s="28">
        <v>20</v>
      </c>
      <c r="I168" s="28">
        <v>1</v>
      </c>
      <c r="J168" s="28">
        <v>2</v>
      </c>
      <c r="K168" s="28">
        <v>2</v>
      </c>
      <c r="L168" s="26" t="s">
        <v>2252</v>
      </c>
      <c r="M168" s="26" t="s">
        <v>1961</v>
      </c>
      <c r="N168" s="26" t="s">
        <v>193</v>
      </c>
      <c r="O168" s="26" t="s">
        <v>1045</v>
      </c>
      <c r="P168" s="26" t="s">
        <v>1046</v>
      </c>
      <c r="Q168" s="26">
        <v>72108403915</v>
      </c>
      <c r="R168" s="34">
        <v>42731</v>
      </c>
      <c r="S168" s="34">
        <v>30926</v>
      </c>
      <c r="T168" s="35">
        <v>7474997743</v>
      </c>
      <c r="U168" s="26"/>
      <c r="V168" s="26" t="s">
        <v>1047</v>
      </c>
      <c r="W168" s="26"/>
      <c r="X168" s="26"/>
      <c r="Y168" s="26"/>
      <c r="Z168" s="26"/>
      <c r="AA168" s="26"/>
      <c r="AB168" s="26"/>
      <c r="AC168" s="34"/>
      <c r="AD168" s="26"/>
      <c r="AE168" s="26"/>
      <c r="AG168" s="22"/>
      <c r="AH168" s="11"/>
    </row>
    <row r="169" spans="1:34" s="10" customFormat="1" x14ac:dyDescent="0.25">
      <c r="A169" s="18"/>
      <c r="B169" s="19">
        <v>0</v>
      </c>
      <c r="C169" s="19">
        <v>0</v>
      </c>
      <c r="D169" s="19">
        <v>0</v>
      </c>
      <c r="E169" s="28">
        <v>524</v>
      </c>
      <c r="F169" s="20" t="str">
        <f t="shared" si="4"/>
        <v xml:space="preserve">NUÃ‘EZ RENDON, ALFREDO </v>
      </c>
      <c r="G169" s="21"/>
      <c r="H169" s="28">
        <v>20</v>
      </c>
      <c r="I169" s="28">
        <v>1</v>
      </c>
      <c r="J169" s="28">
        <v>2</v>
      </c>
      <c r="K169" s="28">
        <v>2</v>
      </c>
      <c r="L169" s="26" t="s">
        <v>2253</v>
      </c>
      <c r="M169" s="26" t="s">
        <v>2010</v>
      </c>
      <c r="N169" s="26" t="s">
        <v>1825</v>
      </c>
      <c r="O169" s="26" t="s">
        <v>1053</v>
      </c>
      <c r="P169" s="26" t="s">
        <v>1054</v>
      </c>
      <c r="Q169" s="26">
        <v>72057403676</v>
      </c>
      <c r="R169" s="34">
        <v>42702</v>
      </c>
      <c r="S169" s="34">
        <v>27193</v>
      </c>
      <c r="T169" s="35">
        <v>457561061957</v>
      </c>
      <c r="U169" s="26"/>
      <c r="V169" s="26" t="s">
        <v>1055</v>
      </c>
      <c r="W169" s="26"/>
      <c r="X169" s="26"/>
      <c r="Y169" s="26"/>
      <c r="Z169" s="26"/>
      <c r="AA169" s="26"/>
      <c r="AB169" s="26"/>
      <c r="AC169" s="34"/>
      <c r="AD169" s="26"/>
      <c r="AE169" s="26"/>
      <c r="AG169" s="22"/>
      <c r="AH169" s="11"/>
    </row>
    <row r="170" spans="1:34" s="10" customFormat="1" x14ac:dyDescent="0.25">
      <c r="A170" s="18"/>
      <c r="B170" s="19">
        <v>0</v>
      </c>
      <c r="C170" s="19">
        <v>0</v>
      </c>
      <c r="D170" s="19">
        <v>0</v>
      </c>
      <c r="E170" s="28">
        <v>525</v>
      </c>
      <c r="F170" s="20" t="str">
        <f t="shared" si="4"/>
        <v xml:space="preserve">SANCHEZ TREJO, DAVID </v>
      </c>
      <c r="G170" s="21"/>
      <c r="H170" s="28">
        <v>20</v>
      </c>
      <c r="I170" s="28">
        <v>1</v>
      </c>
      <c r="J170" s="28">
        <v>2</v>
      </c>
      <c r="K170" s="28">
        <v>2</v>
      </c>
      <c r="L170" s="26" t="s">
        <v>2121</v>
      </c>
      <c r="M170" s="26" t="s">
        <v>1862</v>
      </c>
      <c r="N170" s="26" t="s">
        <v>1868</v>
      </c>
      <c r="O170" s="26" t="s">
        <v>1060</v>
      </c>
      <c r="P170" s="26" t="s">
        <v>1061</v>
      </c>
      <c r="Q170" s="26">
        <v>96917562553</v>
      </c>
      <c r="R170" s="34">
        <v>42742</v>
      </c>
      <c r="S170" s="34">
        <v>27691</v>
      </c>
      <c r="T170" s="35">
        <v>445566038760</v>
      </c>
      <c r="U170" s="26"/>
      <c r="V170" s="26" t="s">
        <v>1062</v>
      </c>
      <c r="W170" s="26"/>
      <c r="X170" s="26"/>
      <c r="Y170" s="26"/>
      <c r="Z170" s="26"/>
      <c r="AA170" s="26"/>
      <c r="AB170" s="26"/>
      <c r="AC170" s="34"/>
      <c r="AD170" s="26"/>
      <c r="AE170" s="26"/>
      <c r="AG170" s="22"/>
      <c r="AH170" s="11"/>
    </row>
    <row r="171" spans="1:34" s="10" customFormat="1" x14ac:dyDescent="0.25">
      <c r="A171" s="18"/>
      <c r="B171" s="19">
        <v>0</v>
      </c>
      <c r="C171" s="19">
        <v>0</v>
      </c>
      <c r="D171" s="19">
        <v>0</v>
      </c>
      <c r="E171" s="28">
        <v>526</v>
      </c>
      <c r="F171" s="20" t="str">
        <f t="shared" si="4"/>
        <v>JUAREZ JUAREZ, JUAN LUIS</v>
      </c>
      <c r="G171" s="21"/>
      <c r="H171" s="28">
        <v>20</v>
      </c>
      <c r="I171" s="28">
        <v>1</v>
      </c>
      <c r="J171" s="28">
        <v>2</v>
      </c>
      <c r="K171" s="28">
        <v>2</v>
      </c>
      <c r="L171" s="26" t="s">
        <v>2254</v>
      </c>
      <c r="M171" s="26" t="s">
        <v>277</v>
      </c>
      <c r="N171" s="26" t="s">
        <v>277</v>
      </c>
      <c r="O171" s="26" t="s">
        <v>1067</v>
      </c>
      <c r="P171" s="26" t="s">
        <v>1068</v>
      </c>
      <c r="Q171" s="26">
        <v>13048000023</v>
      </c>
      <c r="R171" s="34">
        <v>42714</v>
      </c>
      <c r="S171" s="34">
        <v>29573</v>
      </c>
      <c r="T171" s="35">
        <v>457712944196</v>
      </c>
      <c r="U171" s="26"/>
      <c r="V171" s="26" t="s">
        <v>1069</v>
      </c>
      <c r="W171" s="26"/>
      <c r="X171" s="26"/>
      <c r="Y171" s="26"/>
      <c r="Z171" s="26"/>
      <c r="AA171" s="26"/>
      <c r="AB171" s="26"/>
      <c r="AC171" s="34"/>
      <c r="AD171" s="26"/>
      <c r="AE171" s="26"/>
      <c r="AG171" s="22"/>
      <c r="AH171" s="11"/>
    </row>
    <row r="172" spans="1:34" s="10" customFormat="1" x14ac:dyDescent="0.25">
      <c r="A172" s="18"/>
      <c r="B172" s="19">
        <v>0</v>
      </c>
      <c r="C172" s="19">
        <v>0</v>
      </c>
      <c r="D172" s="19">
        <v>0</v>
      </c>
      <c r="E172" s="28">
        <v>527</v>
      </c>
      <c r="F172" s="20" t="str">
        <f t="shared" si="4"/>
        <v>HERNANDEZ HERNANDEZ, JOSE BERNARDO</v>
      </c>
      <c r="G172" s="21"/>
      <c r="H172" s="28">
        <v>20</v>
      </c>
      <c r="I172" s="28">
        <v>2</v>
      </c>
      <c r="J172" s="28">
        <v>2</v>
      </c>
      <c r="K172" s="28">
        <v>2</v>
      </c>
      <c r="L172" s="26" t="s">
        <v>2255</v>
      </c>
      <c r="M172" s="26" t="s">
        <v>1713</v>
      </c>
      <c r="N172" s="26" t="s">
        <v>1713</v>
      </c>
      <c r="O172" s="26" t="s">
        <v>1073</v>
      </c>
      <c r="P172" s="26" t="s">
        <v>1074</v>
      </c>
      <c r="Q172" s="26">
        <v>4877179814</v>
      </c>
      <c r="R172" s="34">
        <v>42793</v>
      </c>
      <c r="S172" s="34">
        <v>26011</v>
      </c>
      <c r="T172" s="35" t="s">
        <v>1075</v>
      </c>
      <c r="U172" s="26"/>
      <c r="V172" s="26" t="s">
        <v>1076</v>
      </c>
      <c r="W172" s="26"/>
      <c r="X172" s="26"/>
      <c r="Y172" s="26"/>
      <c r="Z172" s="26"/>
      <c r="AA172" s="26"/>
      <c r="AB172" s="26"/>
      <c r="AC172" s="34"/>
      <c r="AD172" s="26"/>
      <c r="AE172" s="26"/>
      <c r="AG172" s="22"/>
      <c r="AH172" s="11"/>
    </row>
    <row r="173" spans="1:34" s="10" customFormat="1" x14ac:dyDescent="0.25">
      <c r="A173" s="18"/>
      <c r="B173" s="19">
        <v>0</v>
      </c>
      <c r="C173" s="19">
        <v>0</v>
      </c>
      <c r="D173" s="19">
        <v>0</v>
      </c>
      <c r="E173" s="28">
        <v>528</v>
      </c>
      <c r="F173" s="20" t="str">
        <f t="shared" si="4"/>
        <v>MALDONADO RUIZ, JOSE JAVIER</v>
      </c>
      <c r="G173" s="21"/>
      <c r="H173" s="28">
        <v>20</v>
      </c>
      <c r="I173" s="28">
        <v>1</v>
      </c>
      <c r="J173" s="28">
        <v>2</v>
      </c>
      <c r="K173" s="28">
        <v>2</v>
      </c>
      <c r="L173" s="26" t="s">
        <v>2256</v>
      </c>
      <c r="M173" s="26" t="s">
        <v>1803</v>
      </c>
      <c r="N173" s="26" t="s">
        <v>1913</v>
      </c>
      <c r="O173" s="26" t="s">
        <v>1081</v>
      </c>
      <c r="P173" s="26" t="s">
        <v>1082</v>
      </c>
      <c r="Q173" s="26">
        <v>1786264380</v>
      </c>
      <c r="R173" s="34">
        <v>42794</v>
      </c>
      <c r="S173" s="34">
        <v>22671</v>
      </c>
      <c r="T173" s="35">
        <v>7713684097</v>
      </c>
      <c r="U173" s="26"/>
      <c r="V173" s="26" t="s">
        <v>1083</v>
      </c>
      <c r="W173" s="26"/>
      <c r="X173" s="26"/>
      <c r="Y173" s="26"/>
      <c r="Z173" s="26"/>
      <c r="AA173" s="26"/>
      <c r="AB173" s="26"/>
      <c r="AC173" s="34"/>
      <c r="AD173" s="26"/>
      <c r="AE173" s="26"/>
      <c r="AG173" s="22"/>
      <c r="AH173" s="11"/>
    </row>
    <row r="174" spans="1:34" s="10" customFormat="1" x14ac:dyDescent="0.25">
      <c r="A174" s="18"/>
      <c r="B174" s="19">
        <v>0</v>
      </c>
      <c r="C174" s="19">
        <v>0</v>
      </c>
      <c r="D174" s="19">
        <v>0</v>
      </c>
      <c r="E174" s="28">
        <v>529</v>
      </c>
      <c r="F174" s="20" t="str">
        <f t="shared" si="4"/>
        <v xml:space="preserve">HERNANDEZ RODRIGUEZ, ALFREDO </v>
      </c>
      <c r="G174" s="21"/>
      <c r="H174" s="28">
        <v>20</v>
      </c>
      <c r="I174" s="28">
        <v>2</v>
      </c>
      <c r="J174" s="28">
        <v>2</v>
      </c>
      <c r="K174" s="28">
        <v>2</v>
      </c>
      <c r="L174" s="26" t="s">
        <v>2253</v>
      </c>
      <c r="M174" s="26" t="s">
        <v>1713</v>
      </c>
      <c r="N174" s="26" t="s">
        <v>1718</v>
      </c>
      <c r="O174" s="26" t="s">
        <v>1088</v>
      </c>
      <c r="P174" s="26" t="s">
        <v>1089</v>
      </c>
      <c r="Q174" s="26">
        <v>20876600758</v>
      </c>
      <c r="R174" s="34">
        <v>42794</v>
      </c>
      <c r="S174" s="34">
        <v>24244</v>
      </c>
      <c r="T174" s="35">
        <v>457731038493</v>
      </c>
      <c r="U174" s="26"/>
      <c r="V174" s="26" t="s">
        <v>1090</v>
      </c>
      <c r="W174" s="26"/>
      <c r="X174" s="26"/>
      <c r="Y174" s="26"/>
      <c r="Z174" s="26"/>
      <c r="AA174" s="26"/>
      <c r="AB174" s="26"/>
      <c r="AC174" s="34"/>
      <c r="AD174" s="26"/>
      <c r="AE174" s="26"/>
      <c r="AG174" s="22"/>
      <c r="AH174" s="11"/>
    </row>
    <row r="175" spans="1:34" s="10" customFormat="1" x14ac:dyDescent="0.25">
      <c r="A175" s="18"/>
      <c r="B175" s="19">
        <v>0</v>
      </c>
      <c r="C175" s="19">
        <v>0</v>
      </c>
      <c r="D175" s="19">
        <v>0</v>
      </c>
      <c r="E175" s="28">
        <v>530</v>
      </c>
      <c r="F175" s="20" t="str">
        <f t="shared" si="4"/>
        <v xml:space="preserve">GUERRERO JASSO, ROBERTO </v>
      </c>
      <c r="G175" s="21"/>
      <c r="H175" s="28">
        <v>20</v>
      </c>
      <c r="I175" s="28">
        <v>2</v>
      </c>
      <c r="J175" s="28">
        <v>2</v>
      </c>
      <c r="K175" s="28">
        <v>2</v>
      </c>
      <c r="L175" s="26" t="s">
        <v>2257</v>
      </c>
      <c r="M175" s="26" t="s">
        <v>193</v>
      </c>
      <c r="N175" s="26" t="s">
        <v>2012</v>
      </c>
      <c r="O175" s="26" t="s">
        <v>1095</v>
      </c>
      <c r="P175" s="26" t="s">
        <v>1096</v>
      </c>
      <c r="Q175" s="26">
        <v>1897126106</v>
      </c>
      <c r="R175" s="34">
        <v>42797</v>
      </c>
      <c r="S175" s="34">
        <v>26091</v>
      </c>
      <c r="T175" s="35">
        <v>5524363758</v>
      </c>
      <c r="U175" s="26"/>
      <c r="V175" s="26" t="s">
        <v>1097</v>
      </c>
      <c r="W175" s="26"/>
      <c r="X175" s="26"/>
      <c r="Y175" s="26"/>
      <c r="Z175" s="26"/>
      <c r="AA175" s="26"/>
      <c r="AB175" s="26"/>
      <c r="AC175" s="34"/>
      <c r="AD175" s="26"/>
      <c r="AE175" s="26"/>
      <c r="AG175" s="22"/>
      <c r="AH175" s="11"/>
    </row>
    <row r="176" spans="1:34" s="10" customFormat="1" x14ac:dyDescent="0.25">
      <c r="A176" s="18"/>
      <c r="B176" s="19">
        <v>0</v>
      </c>
      <c r="C176" s="19">
        <v>0</v>
      </c>
      <c r="D176" s="19">
        <v>0</v>
      </c>
      <c r="E176" s="28">
        <v>531</v>
      </c>
      <c r="F176" s="20" t="str">
        <f t="shared" si="4"/>
        <v xml:space="preserve">MELENDEZ DELGADILLO, DEMETRIO </v>
      </c>
      <c r="G176" s="21"/>
      <c r="H176" s="28">
        <v>20</v>
      </c>
      <c r="I176" s="28">
        <v>1</v>
      </c>
      <c r="J176" s="28">
        <v>3</v>
      </c>
      <c r="K176" s="28">
        <v>2</v>
      </c>
      <c r="L176" s="26" t="s">
        <v>2258</v>
      </c>
      <c r="M176" s="26" t="s">
        <v>2013</v>
      </c>
      <c r="N176" s="26" t="s">
        <v>2014</v>
      </c>
      <c r="O176" s="26" t="s">
        <v>1101</v>
      </c>
      <c r="P176" s="26" t="s">
        <v>1102</v>
      </c>
      <c r="Q176" s="26">
        <v>48007414567</v>
      </c>
      <c r="R176" s="34">
        <v>42800</v>
      </c>
      <c r="S176" s="34">
        <v>27191</v>
      </c>
      <c r="T176" s="35">
        <v>7831068818</v>
      </c>
      <c r="U176" s="26"/>
      <c r="V176" s="26" t="s">
        <v>1103</v>
      </c>
      <c r="W176" s="26"/>
      <c r="X176" s="26"/>
      <c r="Y176" s="26"/>
      <c r="Z176" s="26"/>
      <c r="AA176" s="26"/>
      <c r="AB176" s="26"/>
      <c r="AC176" s="34"/>
      <c r="AD176" s="26"/>
      <c r="AE176" s="26"/>
      <c r="AG176" s="22"/>
      <c r="AH176" s="11"/>
    </row>
    <row r="177" spans="1:34" s="10" customFormat="1" x14ac:dyDescent="0.25">
      <c r="A177" s="18"/>
      <c r="B177" s="19">
        <v>0</v>
      </c>
      <c r="C177" s="19">
        <v>0</v>
      </c>
      <c r="D177" s="19">
        <v>0</v>
      </c>
      <c r="E177" s="28">
        <v>533</v>
      </c>
      <c r="F177" s="20" t="str">
        <f t="shared" si="4"/>
        <v>PEREZ CARDENAS, LUIS ALBERTO</v>
      </c>
      <c r="G177" s="21"/>
      <c r="H177" s="28">
        <v>20</v>
      </c>
      <c r="I177" s="28">
        <v>2</v>
      </c>
      <c r="J177" s="28">
        <v>2</v>
      </c>
      <c r="K177" s="28">
        <v>2</v>
      </c>
      <c r="L177" s="26" t="s">
        <v>2259</v>
      </c>
      <c r="M177" s="26" t="s">
        <v>1838</v>
      </c>
      <c r="N177" s="26" t="s">
        <v>957</v>
      </c>
      <c r="O177" s="26" t="s">
        <v>1108</v>
      </c>
      <c r="P177" s="26" t="s">
        <v>1109</v>
      </c>
      <c r="Q177" s="26">
        <v>940585064603</v>
      </c>
      <c r="R177" s="34">
        <v>42823</v>
      </c>
      <c r="S177" s="34">
        <v>31091</v>
      </c>
      <c r="T177" s="35">
        <v>5591059499</v>
      </c>
      <c r="U177" s="26"/>
      <c r="V177" s="26" t="s">
        <v>1110</v>
      </c>
      <c r="W177" s="26"/>
      <c r="X177" s="26"/>
      <c r="Y177" s="26"/>
      <c r="Z177" s="26"/>
      <c r="AA177" s="26"/>
      <c r="AB177" s="26"/>
      <c r="AC177" s="34"/>
      <c r="AD177" s="26"/>
      <c r="AE177" s="26"/>
      <c r="AG177" s="22"/>
      <c r="AH177" s="11"/>
    </row>
    <row r="178" spans="1:34" s="10" customFormat="1" x14ac:dyDescent="0.25">
      <c r="A178" s="18"/>
      <c r="B178" s="19">
        <v>0</v>
      </c>
      <c r="C178" s="19">
        <v>0</v>
      </c>
      <c r="D178" s="19">
        <v>0</v>
      </c>
      <c r="E178" s="28">
        <v>534</v>
      </c>
      <c r="F178" s="20" t="str">
        <f t="shared" si="4"/>
        <v xml:space="preserve">MARTNEZ MARTINEZ, JUSTO </v>
      </c>
      <c r="G178" s="21"/>
      <c r="H178" s="28">
        <v>20</v>
      </c>
      <c r="I178" s="28">
        <v>2</v>
      </c>
      <c r="J178" s="28">
        <v>2</v>
      </c>
      <c r="K178" s="28">
        <v>2</v>
      </c>
      <c r="L178" s="26" t="s">
        <v>2187</v>
      </c>
      <c r="M178" s="26" t="s">
        <v>2016</v>
      </c>
      <c r="N178" s="26" t="s">
        <v>1765</v>
      </c>
      <c r="O178" s="26" t="s">
        <v>2411</v>
      </c>
      <c r="P178" s="26" t="s">
        <v>1114</v>
      </c>
      <c r="Q178" s="26">
        <v>90998003108</v>
      </c>
      <c r="R178" s="34">
        <v>42825</v>
      </c>
      <c r="S178" s="34">
        <v>29512</v>
      </c>
      <c r="T178" s="35" t="s">
        <v>1115</v>
      </c>
      <c r="U178" s="26"/>
      <c r="V178" s="26" t="s">
        <v>1116</v>
      </c>
      <c r="W178" s="26"/>
      <c r="X178" s="26"/>
      <c r="Y178" s="26"/>
      <c r="Z178" s="26"/>
      <c r="AA178" s="26"/>
      <c r="AB178" s="26"/>
      <c r="AC178" s="34"/>
      <c r="AD178" s="26"/>
      <c r="AE178" s="26"/>
      <c r="AG178" s="22"/>
      <c r="AH178" s="11"/>
    </row>
    <row r="179" spans="1:34" s="10" customFormat="1" x14ac:dyDescent="0.25">
      <c r="A179" s="18"/>
      <c r="B179" s="19">
        <v>0</v>
      </c>
      <c r="C179" s="19">
        <v>0</v>
      </c>
      <c r="D179" s="19">
        <v>0</v>
      </c>
      <c r="E179" s="28">
        <v>535</v>
      </c>
      <c r="F179" s="20" t="str">
        <f t="shared" si="4"/>
        <v>CRUZ HERNANDEZ, MARTIN GERARDO</v>
      </c>
      <c r="G179" s="21"/>
      <c r="H179" s="28">
        <v>20</v>
      </c>
      <c r="I179" s="28">
        <v>2</v>
      </c>
      <c r="J179" s="28">
        <v>2</v>
      </c>
      <c r="K179" s="28">
        <v>2</v>
      </c>
      <c r="L179" s="26" t="s">
        <v>2260</v>
      </c>
      <c r="M179" s="26" t="s">
        <v>1699</v>
      </c>
      <c r="N179" s="26" t="s">
        <v>1713</v>
      </c>
      <c r="O179" s="26" t="s">
        <v>2412</v>
      </c>
      <c r="P179" s="26" t="s">
        <v>1121</v>
      </c>
      <c r="Q179" s="26">
        <v>19796314607</v>
      </c>
      <c r="R179" s="34">
        <v>42826</v>
      </c>
      <c r="S179" s="34">
        <v>23124</v>
      </c>
      <c r="T179" s="35" t="s">
        <v>1122</v>
      </c>
      <c r="U179" s="26"/>
      <c r="V179" s="26" t="s">
        <v>1123</v>
      </c>
      <c r="W179" s="26"/>
      <c r="X179" s="26"/>
      <c r="Y179" s="26"/>
      <c r="Z179" s="26"/>
      <c r="AA179" s="26"/>
      <c r="AB179" s="26"/>
      <c r="AC179" s="34"/>
      <c r="AD179" s="26"/>
      <c r="AE179" s="26"/>
      <c r="AG179" s="22"/>
      <c r="AH179" s="11"/>
    </row>
    <row r="180" spans="1:34" s="10" customFormat="1" x14ac:dyDescent="0.25">
      <c r="A180" s="18"/>
      <c r="B180" s="19">
        <v>0</v>
      </c>
      <c r="C180" s="19">
        <v>0</v>
      </c>
      <c r="D180" s="19">
        <v>0</v>
      </c>
      <c r="E180" s="28">
        <v>537</v>
      </c>
      <c r="F180" s="20" t="str">
        <f t="shared" si="4"/>
        <v>GARCIA MORALES, J. FRANCISCO</v>
      </c>
      <c r="G180" s="21"/>
      <c r="H180" s="28">
        <v>20</v>
      </c>
      <c r="I180" s="28">
        <v>2</v>
      </c>
      <c r="J180" s="28">
        <v>2</v>
      </c>
      <c r="K180" s="28">
        <v>2</v>
      </c>
      <c r="L180" s="26" t="s">
        <v>2261</v>
      </c>
      <c r="M180" s="26" t="s">
        <v>1773</v>
      </c>
      <c r="N180" s="26" t="s">
        <v>1822</v>
      </c>
      <c r="O180" s="26" t="s">
        <v>2413</v>
      </c>
      <c r="P180" s="26" t="s">
        <v>1127</v>
      </c>
      <c r="Q180" s="26">
        <v>14038426178</v>
      </c>
      <c r="R180" s="34">
        <v>42853</v>
      </c>
      <c r="S180" s="34">
        <v>30886</v>
      </c>
      <c r="T180" s="35">
        <v>45442712484</v>
      </c>
      <c r="U180" s="26"/>
      <c r="V180" s="26" t="s">
        <v>1128</v>
      </c>
      <c r="W180" s="26"/>
      <c r="X180" s="26"/>
      <c r="Y180" s="26"/>
      <c r="Z180" s="26"/>
      <c r="AA180" s="26"/>
      <c r="AB180" s="26"/>
      <c r="AC180" s="34"/>
      <c r="AD180" s="26"/>
      <c r="AE180" s="26"/>
      <c r="AG180" s="22"/>
      <c r="AH180" s="11"/>
    </row>
    <row r="181" spans="1:34" s="10" customFormat="1" x14ac:dyDescent="0.25">
      <c r="A181" s="18"/>
      <c r="B181" s="19">
        <v>0</v>
      </c>
      <c r="C181" s="19">
        <v>0</v>
      </c>
      <c r="D181" s="19">
        <v>0</v>
      </c>
      <c r="E181" s="28">
        <v>538</v>
      </c>
      <c r="F181" s="20" t="str">
        <f t="shared" si="4"/>
        <v>DE LA, CRUZ BERRIOS</v>
      </c>
      <c r="G181" s="21"/>
      <c r="H181" s="28">
        <v>20</v>
      </c>
      <c r="I181" s="28">
        <v>2</v>
      </c>
      <c r="J181" s="28">
        <v>2</v>
      </c>
      <c r="K181" s="28">
        <v>2</v>
      </c>
      <c r="L181" s="26" t="s">
        <v>2262</v>
      </c>
      <c r="M181" s="26" t="s">
        <v>1823</v>
      </c>
      <c r="N181" s="26" t="s">
        <v>1884</v>
      </c>
      <c r="O181" s="26" t="s">
        <v>2414</v>
      </c>
      <c r="P181" s="26" t="s">
        <v>1134</v>
      </c>
      <c r="Q181" s="26">
        <v>94098402129</v>
      </c>
      <c r="R181" s="34">
        <v>42857</v>
      </c>
      <c r="S181" s="34">
        <v>30872</v>
      </c>
      <c r="T181" s="35">
        <v>5513046928</v>
      </c>
      <c r="U181" s="26"/>
      <c r="V181" s="26" t="s">
        <v>1135</v>
      </c>
      <c r="W181" s="26"/>
      <c r="X181" s="26"/>
      <c r="Y181" s="26"/>
      <c r="Z181" s="26"/>
      <c r="AA181" s="26"/>
      <c r="AB181" s="26"/>
      <c r="AC181" s="34"/>
      <c r="AD181" s="26"/>
      <c r="AE181" s="26"/>
      <c r="AG181" s="22"/>
      <c r="AH181" s="11"/>
    </row>
    <row r="182" spans="1:34" s="10" customFormat="1" x14ac:dyDescent="0.25">
      <c r="A182" s="18"/>
      <c r="B182" s="19">
        <v>0</v>
      </c>
      <c r="C182" s="19">
        <v>0</v>
      </c>
      <c r="D182" s="19">
        <v>0</v>
      </c>
      <c r="E182" s="28">
        <v>539</v>
      </c>
      <c r="F182" s="20" t="str">
        <f t="shared" si="4"/>
        <v>PINEDA GAYTAN, CAMILO ALEJANDRO</v>
      </c>
      <c r="G182" s="21"/>
      <c r="H182" s="28">
        <v>20</v>
      </c>
      <c r="I182" s="28">
        <v>1</v>
      </c>
      <c r="J182" s="28">
        <v>2</v>
      </c>
      <c r="K182" s="28">
        <v>2</v>
      </c>
      <c r="L182" s="26" t="s">
        <v>2263</v>
      </c>
      <c r="M182" s="26" t="s">
        <v>2019</v>
      </c>
      <c r="N182" s="26" t="s">
        <v>1942</v>
      </c>
      <c r="O182" s="26" t="s">
        <v>2415</v>
      </c>
      <c r="P182" s="26" t="s">
        <v>1141</v>
      </c>
      <c r="Q182" s="26">
        <v>92028400833</v>
      </c>
      <c r="R182" s="34">
        <v>42857</v>
      </c>
      <c r="S182" s="34">
        <v>30748</v>
      </c>
      <c r="T182" s="35">
        <v>5530465396</v>
      </c>
      <c r="U182" s="26"/>
      <c r="V182" s="26" t="s">
        <v>1142</v>
      </c>
      <c r="W182" s="26"/>
      <c r="X182" s="26"/>
      <c r="Y182" s="26"/>
      <c r="Z182" s="26"/>
      <c r="AA182" s="26"/>
      <c r="AB182" s="26"/>
      <c r="AC182" s="34"/>
      <c r="AD182" s="26"/>
      <c r="AE182" s="26"/>
      <c r="AG182" s="22"/>
      <c r="AH182" s="11"/>
    </row>
    <row r="183" spans="1:34" s="10" customFormat="1" x14ac:dyDescent="0.25">
      <c r="A183" s="18"/>
      <c r="B183" s="19">
        <v>0</v>
      </c>
      <c r="C183" s="19">
        <v>0</v>
      </c>
      <c r="D183" s="19">
        <v>0</v>
      </c>
      <c r="E183" s="28">
        <v>540</v>
      </c>
      <c r="F183" s="20" t="str">
        <f t="shared" si="4"/>
        <v>RIVERA JIMENEZ, JOSE ALFREDO</v>
      </c>
      <c r="G183" s="21"/>
      <c r="H183" s="28">
        <v>20</v>
      </c>
      <c r="I183" s="28">
        <v>2</v>
      </c>
      <c r="J183" s="28">
        <v>2</v>
      </c>
      <c r="K183" s="28">
        <v>2</v>
      </c>
      <c r="L183" s="26" t="s">
        <v>2166</v>
      </c>
      <c r="M183" s="26" t="s">
        <v>1849</v>
      </c>
      <c r="N183" s="26" t="s">
        <v>1795</v>
      </c>
      <c r="O183" s="26" t="s">
        <v>2416</v>
      </c>
      <c r="P183" s="26" t="s">
        <v>1146</v>
      </c>
      <c r="Q183" s="26">
        <v>72048425911</v>
      </c>
      <c r="R183" s="34">
        <v>42868</v>
      </c>
      <c r="S183" s="34">
        <v>30825</v>
      </c>
      <c r="T183" s="35">
        <v>4641113055</v>
      </c>
      <c r="U183" s="26"/>
      <c r="V183" s="26" t="s">
        <v>1147</v>
      </c>
      <c r="W183" s="26"/>
      <c r="X183" s="26"/>
      <c r="Y183" s="26"/>
      <c r="Z183" s="26"/>
      <c r="AA183" s="26"/>
      <c r="AB183" s="26"/>
      <c r="AC183" s="34"/>
      <c r="AD183" s="26"/>
      <c r="AE183" s="26"/>
      <c r="AG183" s="22"/>
      <c r="AH183" s="11"/>
    </row>
    <row r="184" spans="1:34" s="10" customFormat="1" x14ac:dyDescent="0.25">
      <c r="A184" s="18"/>
      <c r="B184" s="19">
        <v>0</v>
      </c>
      <c r="C184" s="19">
        <v>0</v>
      </c>
      <c r="D184" s="19">
        <v>0</v>
      </c>
      <c r="E184" s="28">
        <v>541</v>
      </c>
      <c r="F184" s="20" t="str">
        <f t="shared" si="4"/>
        <v xml:space="preserve">REYES HERNANDEZ, GERARDO </v>
      </c>
      <c r="G184" s="21"/>
      <c r="H184" s="28">
        <v>20</v>
      </c>
      <c r="I184" s="28">
        <v>1</v>
      </c>
      <c r="J184" s="28">
        <v>2</v>
      </c>
      <c r="K184" s="28">
        <v>2</v>
      </c>
      <c r="L184" s="26" t="s">
        <v>2124</v>
      </c>
      <c r="M184" s="26" t="s">
        <v>1744</v>
      </c>
      <c r="N184" s="26" t="s">
        <v>1713</v>
      </c>
      <c r="O184" s="26" t="s">
        <v>1152</v>
      </c>
      <c r="P184" s="26" t="s">
        <v>1153</v>
      </c>
      <c r="Q184" s="26">
        <v>13058108526</v>
      </c>
      <c r="R184" s="34">
        <v>42881</v>
      </c>
      <c r="S184" s="34">
        <v>29721</v>
      </c>
      <c r="T184" s="35">
        <v>2228636426</v>
      </c>
      <c r="U184" s="26"/>
      <c r="V184" s="26" t="s">
        <v>1154</v>
      </c>
      <c r="W184" s="26"/>
      <c r="X184" s="26"/>
      <c r="Y184" s="26"/>
      <c r="Z184" s="26"/>
      <c r="AA184" s="26"/>
      <c r="AB184" s="26"/>
      <c r="AC184" s="34"/>
      <c r="AD184" s="26"/>
      <c r="AE184" s="26"/>
      <c r="AG184" s="22"/>
      <c r="AH184" s="11"/>
    </row>
    <row r="185" spans="1:34" s="10" customFormat="1" x14ac:dyDescent="0.25">
      <c r="A185" s="18"/>
      <c r="B185" s="19">
        <v>0</v>
      </c>
      <c r="C185" s="19">
        <v>0</v>
      </c>
      <c r="D185" s="19">
        <v>0</v>
      </c>
      <c r="E185" s="28">
        <v>542</v>
      </c>
      <c r="F185" s="20" t="str">
        <f t="shared" si="4"/>
        <v xml:space="preserve">RAMOS MONTES, MISAEL </v>
      </c>
      <c r="G185" s="21"/>
      <c r="H185" s="28">
        <v>20</v>
      </c>
      <c r="I185" s="28">
        <v>2</v>
      </c>
      <c r="J185" s="28">
        <v>2</v>
      </c>
      <c r="K185" s="28">
        <v>2</v>
      </c>
      <c r="L185" s="26" t="s">
        <v>2264</v>
      </c>
      <c r="M185" s="26" t="s">
        <v>1854</v>
      </c>
      <c r="N185" s="26" t="s">
        <v>2021</v>
      </c>
      <c r="O185" s="26" t="s">
        <v>1158</v>
      </c>
      <c r="P185" s="26" t="s">
        <v>1159</v>
      </c>
      <c r="Q185" s="26">
        <v>15998028227</v>
      </c>
      <c r="R185" s="34">
        <v>42884</v>
      </c>
      <c r="S185" s="34">
        <v>29339</v>
      </c>
      <c r="T185" s="35" t="s">
        <v>1160</v>
      </c>
      <c r="U185" s="26"/>
      <c r="V185" s="26" t="s">
        <v>1161</v>
      </c>
      <c r="W185" s="26"/>
      <c r="X185" s="26"/>
      <c r="Y185" s="26"/>
      <c r="Z185" s="26"/>
      <c r="AA185" s="26"/>
      <c r="AB185" s="26"/>
      <c r="AC185" s="34"/>
      <c r="AD185" s="26"/>
      <c r="AE185" s="26"/>
      <c r="AG185" s="22"/>
      <c r="AH185" s="11"/>
    </row>
    <row r="186" spans="1:34" s="10" customFormat="1" x14ac:dyDescent="0.25">
      <c r="A186" s="18"/>
      <c r="B186" s="19">
        <v>0</v>
      </c>
      <c r="C186" s="19">
        <v>0</v>
      </c>
      <c r="D186" s="19">
        <v>0</v>
      </c>
      <c r="E186" s="28">
        <v>543</v>
      </c>
      <c r="F186" s="20" t="str">
        <f t="shared" si="4"/>
        <v xml:space="preserve">REYES RAMOS, MARCOS </v>
      </c>
      <c r="G186" s="21"/>
      <c r="H186" s="28">
        <v>20</v>
      </c>
      <c r="I186" s="28">
        <v>1</v>
      </c>
      <c r="J186" s="28">
        <v>2</v>
      </c>
      <c r="K186" s="28">
        <v>2</v>
      </c>
      <c r="L186" s="26" t="s">
        <v>2265</v>
      </c>
      <c r="M186" s="26" t="s">
        <v>1744</v>
      </c>
      <c r="N186" s="26" t="s">
        <v>1854</v>
      </c>
      <c r="O186" s="26" t="s">
        <v>1166</v>
      </c>
      <c r="P186" s="26" t="s">
        <v>1167</v>
      </c>
      <c r="Q186" s="26">
        <v>62907502405</v>
      </c>
      <c r="R186" s="34">
        <v>42884</v>
      </c>
      <c r="S186" s="34">
        <v>27383</v>
      </c>
      <c r="T186" s="35" t="s">
        <v>1168</v>
      </c>
      <c r="U186" s="26"/>
      <c r="V186" s="26" t="s">
        <v>1169</v>
      </c>
      <c r="W186" s="26"/>
      <c r="X186" s="26"/>
      <c r="Y186" s="26"/>
      <c r="Z186" s="26"/>
      <c r="AA186" s="26"/>
      <c r="AB186" s="26"/>
      <c r="AC186" s="34"/>
      <c r="AD186" s="26"/>
      <c r="AE186" s="26"/>
      <c r="AG186" s="22"/>
      <c r="AH186" s="11"/>
    </row>
    <row r="187" spans="1:34" s="10" customFormat="1" x14ac:dyDescent="0.25">
      <c r="A187" s="18"/>
      <c r="B187" s="19">
        <v>0</v>
      </c>
      <c r="C187" s="19">
        <v>0</v>
      </c>
      <c r="D187" s="19">
        <v>0</v>
      </c>
      <c r="E187" s="28">
        <v>544</v>
      </c>
      <c r="F187" s="20" t="str">
        <f t="shared" si="4"/>
        <v xml:space="preserve">VARGAS SANTOS, GERARDO </v>
      </c>
      <c r="G187" s="21"/>
      <c r="H187" s="28">
        <v>20</v>
      </c>
      <c r="I187" s="28">
        <v>1</v>
      </c>
      <c r="J187" s="28">
        <v>2</v>
      </c>
      <c r="K187" s="28">
        <v>2</v>
      </c>
      <c r="L187" s="26" t="s">
        <v>2124</v>
      </c>
      <c r="M187" s="26" t="s">
        <v>1715</v>
      </c>
      <c r="N187" s="26" t="s">
        <v>1865</v>
      </c>
      <c r="O187" s="26" t="s">
        <v>2417</v>
      </c>
      <c r="P187" s="26" t="s">
        <v>1173</v>
      </c>
      <c r="Q187" s="26">
        <v>62896928934</v>
      </c>
      <c r="R187" s="34">
        <v>42889</v>
      </c>
      <c r="S187" s="34">
        <v>25492</v>
      </c>
      <c r="T187" s="35" t="s">
        <v>1174</v>
      </c>
      <c r="U187" s="26"/>
      <c r="V187" s="26" t="s">
        <v>1175</v>
      </c>
      <c r="W187" s="26"/>
      <c r="X187" s="26"/>
      <c r="Y187" s="26"/>
      <c r="Z187" s="26"/>
      <c r="AA187" s="26"/>
      <c r="AB187" s="26"/>
      <c r="AC187" s="34"/>
      <c r="AD187" s="26"/>
      <c r="AE187" s="26"/>
      <c r="AG187" s="22"/>
      <c r="AH187" s="11"/>
    </row>
    <row r="188" spans="1:34" s="10" customFormat="1" x14ac:dyDescent="0.25">
      <c r="A188" s="18"/>
      <c r="B188" s="19">
        <v>0</v>
      </c>
      <c r="C188" s="19">
        <v>0</v>
      </c>
      <c r="D188" s="19">
        <v>0</v>
      </c>
      <c r="E188" s="28">
        <v>545</v>
      </c>
      <c r="F188" s="20" t="str">
        <f t="shared" si="4"/>
        <v xml:space="preserve">HERNANDEZ ROMERO, ROBERTO </v>
      </c>
      <c r="G188" s="21"/>
      <c r="H188" s="28">
        <v>20</v>
      </c>
      <c r="I188" s="28">
        <v>2</v>
      </c>
      <c r="J188" s="28">
        <v>2</v>
      </c>
      <c r="K188" s="28">
        <v>2</v>
      </c>
      <c r="L188" s="26" t="s">
        <v>2257</v>
      </c>
      <c r="M188" s="26" t="s">
        <v>1713</v>
      </c>
      <c r="N188" s="26" t="s">
        <v>2024</v>
      </c>
      <c r="O188" s="26" t="s">
        <v>2418</v>
      </c>
      <c r="P188" s="26" t="s">
        <v>1178</v>
      </c>
      <c r="Q188" s="26">
        <v>83998302059</v>
      </c>
      <c r="R188" s="34">
        <v>42893</v>
      </c>
      <c r="S188" s="34">
        <v>30569</v>
      </c>
      <c r="T188" s="35" t="s">
        <v>1179</v>
      </c>
      <c r="U188" s="26"/>
      <c r="V188" s="26" t="s">
        <v>1180</v>
      </c>
      <c r="W188" s="26"/>
      <c r="X188" s="26"/>
      <c r="Y188" s="26"/>
      <c r="Z188" s="26"/>
      <c r="AA188" s="26"/>
      <c r="AB188" s="26"/>
      <c r="AC188" s="34"/>
      <c r="AD188" s="26"/>
      <c r="AE188" s="26"/>
      <c r="AG188" s="22"/>
      <c r="AH188" s="11"/>
    </row>
    <row r="189" spans="1:34" s="10" customFormat="1" x14ac:dyDescent="0.25">
      <c r="A189" s="18"/>
      <c r="B189" s="19">
        <v>0</v>
      </c>
      <c r="C189" s="19">
        <v>0</v>
      </c>
      <c r="D189" s="19">
        <v>0</v>
      </c>
      <c r="E189" s="28">
        <v>546</v>
      </c>
      <c r="F189" s="20" t="str">
        <f t="shared" si="4"/>
        <v xml:space="preserve">GARCIA SOTO, RUBEN </v>
      </c>
      <c r="G189" s="21"/>
      <c r="H189" s="28">
        <v>20</v>
      </c>
      <c r="I189" s="28">
        <v>1</v>
      </c>
      <c r="J189" s="28">
        <v>1</v>
      </c>
      <c r="K189" s="28">
        <v>2</v>
      </c>
      <c r="L189" s="26" t="s">
        <v>2266</v>
      </c>
      <c r="M189" s="26" t="s">
        <v>1773</v>
      </c>
      <c r="N189" s="26" t="s">
        <v>1916</v>
      </c>
      <c r="O189" s="26" t="s">
        <v>1184</v>
      </c>
      <c r="P189" s="26" t="s">
        <v>1185</v>
      </c>
      <c r="Q189" s="26">
        <v>13968042336</v>
      </c>
      <c r="R189" s="34">
        <v>42900</v>
      </c>
      <c r="S189" s="34">
        <v>29300</v>
      </c>
      <c r="T189" s="35">
        <v>457461119610</v>
      </c>
      <c r="U189" s="26"/>
      <c r="V189" s="26" t="s">
        <v>1186</v>
      </c>
      <c r="W189" s="26"/>
      <c r="X189" s="26"/>
      <c r="Y189" s="26"/>
      <c r="Z189" s="26"/>
      <c r="AA189" s="26"/>
      <c r="AB189" s="26"/>
      <c r="AC189" s="34"/>
      <c r="AD189" s="26"/>
      <c r="AE189" s="26"/>
      <c r="AG189" s="22"/>
      <c r="AH189" s="11"/>
    </row>
    <row r="190" spans="1:34" s="10" customFormat="1" x14ac:dyDescent="0.25">
      <c r="A190" s="18"/>
      <c r="B190" s="19">
        <v>0</v>
      </c>
      <c r="C190" s="19">
        <v>0</v>
      </c>
      <c r="D190" s="19">
        <v>0</v>
      </c>
      <c r="E190" s="28">
        <v>547</v>
      </c>
      <c r="F190" s="20" t="str">
        <f t="shared" si="4"/>
        <v>CHULIM CIREROL, JOSE ALBERTO</v>
      </c>
      <c r="G190" s="21"/>
      <c r="H190" s="28">
        <v>20</v>
      </c>
      <c r="I190" s="28">
        <v>1</v>
      </c>
      <c r="J190" s="28">
        <v>2</v>
      </c>
      <c r="K190" s="28">
        <v>2</v>
      </c>
      <c r="L190" s="26" t="s">
        <v>2267</v>
      </c>
      <c r="M190" s="26" t="s">
        <v>2026</v>
      </c>
      <c r="N190" s="26" t="s">
        <v>2027</v>
      </c>
      <c r="O190" s="26" t="s">
        <v>1191</v>
      </c>
      <c r="P190" s="26" t="s">
        <v>1192</v>
      </c>
      <c r="Q190" s="26">
        <v>7907149657</v>
      </c>
      <c r="R190" s="34">
        <v>42900</v>
      </c>
      <c r="S190" s="34">
        <v>25989</v>
      </c>
      <c r="T190" s="35">
        <v>445526651774</v>
      </c>
      <c r="U190" s="26"/>
      <c r="V190" s="26" t="s">
        <v>1193</v>
      </c>
      <c r="W190" s="26"/>
      <c r="X190" s="26"/>
      <c r="Y190" s="26"/>
      <c r="Z190" s="26"/>
      <c r="AA190" s="26"/>
      <c r="AB190" s="26"/>
      <c r="AC190" s="34"/>
      <c r="AD190" s="26"/>
      <c r="AE190" s="26"/>
      <c r="AG190" s="22"/>
      <c r="AH190" s="11"/>
    </row>
    <row r="191" spans="1:34" s="10" customFormat="1" x14ac:dyDescent="0.25">
      <c r="A191" s="18"/>
      <c r="B191" s="19">
        <v>0</v>
      </c>
      <c r="C191" s="19">
        <v>0</v>
      </c>
      <c r="D191" s="19">
        <v>0</v>
      </c>
      <c r="E191" s="28">
        <v>548</v>
      </c>
      <c r="F191" s="20" t="str">
        <f t="shared" si="4"/>
        <v>GARATACHIA ALMANZA, JHONNY CARMELO</v>
      </c>
      <c r="G191" s="21"/>
      <c r="H191" s="28">
        <v>20</v>
      </c>
      <c r="I191" s="28">
        <v>1</v>
      </c>
      <c r="J191" s="28">
        <v>3</v>
      </c>
      <c r="K191" s="28">
        <v>2</v>
      </c>
      <c r="L191" s="26" t="s">
        <v>2268</v>
      </c>
      <c r="M191" s="26" t="s">
        <v>1941</v>
      </c>
      <c r="N191" s="26" t="s">
        <v>2028</v>
      </c>
      <c r="O191" s="26" t="s">
        <v>1197</v>
      </c>
      <c r="P191" s="26" t="s">
        <v>1198</v>
      </c>
      <c r="Q191" s="26">
        <v>16108814340</v>
      </c>
      <c r="R191" s="34">
        <v>42900</v>
      </c>
      <c r="S191" s="34">
        <v>32147</v>
      </c>
      <c r="T191" s="35" t="s">
        <v>1199</v>
      </c>
      <c r="U191" s="26"/>
      <c r="V191" s="26" t="s">
        <v>1200</v>
      </c>
      <c r="W191" s="26"/>
      <c r="X191" s="26"/>
      <c r="Y191" s="26"/>
      <c r="Z191" s="26"/>
      <c r="AA191" s="26"/>
      <c r="AB191" s="26"/>
      <c r="AC191" s="34"/>
      <c r="AD191" s="26"/>
      <c r="AE191" s="26"/>
      <c r="AG191" s="22"/>
      <c r="AH191" s="11"/>
    </row>
    <row r="192" spans="1:34" s="10" customFormat="1" x14ac:dyDescent="0.25">
      <c r="A192" s="18"/>
      <c r="B192" s="19">
        <v>0</v>
      </c>
      <c r="C192" s="19">
        <v>0</v>
      </c>
      <c r="D192" s="19">
        <v>0</v>
      </c>
      <c r="E192" s="28">
        <v>549</v>
      </c>
      <c r="F192" s="20" t="str">
        <f t="shared" si="4"/>
        <v>SOLORZANO CORTES, JORGE ANTONIO</v>
      </c>
      <c r="G192" s="21"/>
      <c r="H192" s="28">
        <v>20</v>
      </c>
      <c r="I192" s="28">
        <v>2</v>
      </c>
      <c r="J192" s="28">
        <v>3</v>
      </c>
      <c r="K192" s="28">
        <v>2</v>
      </c>
      <c r="L192" s="26" t="s">
        <v>2269</v>
      </c>
      <c r="M192" s="26" t="s">
        <v>2031</v>
      </c>
      <c r="N192" s="26" t="s">
        <v>1946</v>
      </c>
      <c r="O192" s="26" t="s">
        <v>1205</v>
      </c>
      <c r="P192" s="26" t="s">
        <v>2311</v>
      </c>
      <c r="Q192" s="26">
        <v>61866610654</v>
      </c>
      <c r="R192" s="34">
        <v>42902</v>
      </c>
      <c r="S192" s="34">
        <v>24271</v>
      </c>
      <c r="T192" s="35" t="s">
        <v>1206</v>
      </c>
      <c r="U192" s="26"/>
      <c r="V192" s="26" t="s">
        <v>1207</v>
      </c>
      <c r="W192" s="26"/>
      <c r="X192" s="26"/>
      <c r="Y192" s="26"/>
      <c r="Z192" s="26"/>
      <c r="AA192" s="26"/>
      <c r="AB192" s="26"/>
      <c r="AC192" s="34"/>
      <c r="AD192" s="26"/>
      <c r="AE192" s="26"/>
      <c r="AG192" s="22"/>
      <c r="AH192" s="11"/>
    </row>
    <row r="193" spans="1:34" s="10" customFormat="1" x14ac:dyDescent="0.25">
      <c r="A193" s="18"/>
      <c r="B193" s="19">
        <v>0</v>
      </c>
      <c r="C193" s="19">
        <v>0</v>
      </c>
      <c r="D193" s="19">
        <v>0</v>
      </c>
      <c r="E193" s="28">
        <v>550</v>
      </c>
      <c r="F193" s="20" t="str">
        <f t="shared" si="4"/>
        <v>BARRIGA ROJAS, SABAS ARTURO</v>
      </c>
      <c r="G193" s="21"/>
      <c r="H193" s="28">
        <v>20</v>
      </c>
      <c r="I193" s="28">
        <v>1</v>
      </c>
      <c r="J193" s="28">
        <v>2</v>
      </c>
      <c r="K193" s="28">
        <v>2</v>
      </c>
      <c r="L193" s="26" t="s">
        <v>2270</v>
      </c>
      <c r="M193" s="26" t="s">
        <v>2032</v>
      </c>
      <c r="N193" s="26" t="s">
        <v>1853</v>
      </c>
      <c r="O193" s="26" t="s">
        <v>1212</v>
      </c>
      <c r="P193" s="26" t="s">
        <v>1213</v>
      </c>
      <c r="Q193" s="26">
        <v>45957618221</v>
      </c>
      <c r="R193" s="34">
        <v>42902</v>
      </c>
      <c r="S193" s="34">
        <v>27922</v>
      </c>
      <c r="T193" s="35">
        <v>445518396720</v>
      </c>
      <c r="U193" s="26"/>
      <c r="V193" s="26" t="s">
        <v>1214</v>
      </c>
      <c r="W193" s="26"/>
      <c r="X193" s="26"/>
      <c r="Y193" s="26"/>
      <c r="Z193" s="26"/>
      <c r="AA193" s="26"/>
      <c r="AB193" s="26"/>
      <c r="AC193" s="34"/>
      <c r="AD193" s="26"/>
      <c r="AE193" s="26"/>
      <c r="AG193" s="22"/>
      <c r="AH193" s="11"/>
    </row>
    <row r="194" spans="1:34" s="10" customFormat="1" x14ac:dyDescent="0.25">
      <c r="A194" s="18"/>
      <c r="B194" s="19">
        <v>0</v>
      </c>
      <c r="C194" s="19">
        <v>0</v>
      </c>
      <c r="D194" s="19">
        <v>0</v>
      </c>
      <c r="E194" s="28">
        <v>551</v>
      </c>
      <c r="F194" s="20" t="str">
        <f t="shared" si="4"/>
        <v>VAZQUEZ RODRIGUEZ, JOSE FRANCISCO</v>
      </c>
      <c r="G194" s="21"/>
      <c r="H194" s="28">
        <v>20</v>
      </c>
      <c r="I194" s="28">
        <v>2</v>
      </c>
      <c r="J194" s="28">
        <v>2</v>
      </c>
      <c r="K194" s="28">
        <v>2</v>
      </c>
      <c r="L194" s="26" t="s">
        <v>2271</v>
      </c>
      <c r="M194" s="26" t="s">
        <v>2034</v>
      </c>
      <c r="N194" s="26" t="s">
        <v>1718</v>
      </c>
      <c r="O194" s="26" t="s">
        <v>1219</v>
      </c>
      <c r="P194" s="26" t="s">
        <v>1220</v>
      </c>
      <c r="Q194" s="26">
        <v>63978102018</v>
      </c>
      <c r="R194" s="34">
        <v>42902</v>
      </c>
      <c r="S194" s="34">
        <v>29931</v>
      </c>
      <c r="T194" s="35">
        <v>454291027884</v>
      </c>
      <c r="U194" s="26"/>
      <c r="V194" s="26" t="s">
        <v>1221</v>
      </c>
      <c r="W194" s="26"/>
      <c r="X194" s="26"/>
      <c r="Y194" s="26"/>
      <c r="Z194" s="26"/>
      <c r="AA194" s="26"/>
      <c r="AB194" s="26"/>
      <c r="AC194" s="34"/>
      <c r="AD194" s="26"/>
      <c r="AE194" s="26"/>
      <c r="AG194" s="22"/>
      <c r="AH194" s="11"/>
    </row>
    <row r="195" spans="1:34" s="10" customFormat="1" x14ac:dyDescent="0.25">
      <c r="A195" s="18"/>
      <c r="B195" s="19">
        <v>0</v>
      </c>
      <c r="C195" s="19">
        <v>0</v>
      </c>
      <c r="D195" s="19">
        <v>0</v>
      </c>
      <c r="E195" s="28">
        <v>552</v>
      </c>
      <c r="F195" s="20" t="str">
        <f t="shared" si="4"/>
        <v>LUGO LIRA, JUAN ADOLFO</v>
      </c>
      <c r="G195" s="21"/>
      <c r="H195" s="28">
        <v>20</v>
      </c>
      <c r="I195" s="28">
        <v>1</v>
      </c>
      <c r="J195" s="28">
        <v>2</v>
      </c>
      <c r="K195" s="28">
        <v>2</v>
      </c>
      <c r="L195" s="26" t="s">
        <v>2272</v>
      </c>
      <c r="M195" s="26" t="s">
        <v>2035</v>
      </c>
      <c r="N195" s="26" t="s">
        <v>2036</v>
      </c>
      <c r="O195" s="26" t="s">
        <v>2419</v>
      </c>
      <c r="P195" s="26" t="s">
        <v>1225</v>
      </c>
      <c r="Q195" s="26">
        <v>65796215088</v>
      </c>
      <c r="R195" s="34">
        <v>42907</v>
      </c>
      <c r="S195" s="34">
        <v>22821</v>
      </c>
      <c r="T195" s="35" t="s">
        <v>1226</v>
      </c>
      <c r="U195" s="26"/>
      <c r="V195" s="26" t="s">
        <v>1227</v>
      </c>
      <c r="W195" s="26"/>
      <c r="X195" s="26"/>
      <c r="Y195" s="26"/>
      <c r="Z195" s="26"/>
      <c r="AA195" s="26"/>
      <c r="AB195" s="26"/>
      <c r="AC195" s="34"/>
      <c r="AD195" s="26"/>
      <c r="AE195" s="26"/>
      <c r="AG195" s="22"/>
      <c r="AH195" s="11"/>
    </row>
    <row r="196" spans="1:34" s="10" customFormat="1" x14ac:dyDescent="0.25">
      <c r="A196" s="18"/>
      <c r="B196" s="19">
        <v>0</v>
      </c>
      <c r="C196" s="19">
        <v>0</v>
      </c>
      <c r="D196" s="19">
        <v>0</v>
      </c>
      <c r="E196" s="28">
        <v>553</v>
      </c>
      <c r="F196" s="20" t="str">
        <f t="shared" ref="F196:F259" si="6">CONCATENATE(M196," ",N196,", ",L196)</f>
        <v xml:space="preserve">HERNANDEZ RODRIGUEZ, JESUS </v>
      </c>
      <c r="G196" s="21"/>
      <c r="H196" s="28">
        <v>20</v>
      </c>
      <c r="I196" s="28">
        <v>1</v>
      </c>
      <c r="J196" s="28">
        <v>2</v>
      </c>
      <c r="K196" s="28">
        <v>2</v>
      </c>
      <c r="L196" s="26" t="s">
        <v>2209</v>
      </c>
      <c r="M196" s="26" t="s">
        <v>1713</v>
      </c>
      <c r="N196" s="26" t="s">
        <v>1718</v>
      </c>
      <c r="O196" s="26" t="s">
        <v>1233</v>
      </c>
      <c r="P196" s="26" t="s">
        <v>1234</v>
      </c>
      <c r="Q196" s="26">
        <v>92957754432</v>
      </c>
      <c r="R196" s="34">
        <v>42913</v>
      </c>
      <c r="S196" s="34">
        <v>28484</v>
      </c>
      <c r="T196" s="35" t="s">
        <v>1235</v>
      </c>
      <c r="U196" s="26"/>
      <c r="V196" s="26" t="s">
        <v>1236</v>
      </c>
      <c r="W196" s="26"/>
      <c r="X196" s="26"/>
      <c r="Y196" s="26"/>
      <c r="Z196" s="26"/>
      <c r="AA196" s="26"/>
      <c r="AB196" s="26"/>
      <c r="AC196" s="34"/>
      <c r="AD196" s="26"/>
      <c r="AE196" s="26"/>
      <c r="AG196" s="22"/>
      <c r="AH196" s="11"/>
    </row>
    <row r="197" spans="1:34" s="10" customFormat="1" x14ac:dyDescent="0.25">
      <c r="A197" s="18"/>
      <c r="B197" s="19">
        <v>0</v>
      </c>
      <c r="C197" s="19">
        <v>0</v>
      </c>
      <c r="D197" s="19">
        <v>0</v>
      </c>
      <c r="E197" s="28">
        <v>554</v>
      </c>
      <c r="F197" s="20" t="str">
        <f t="shared" si="6"/>
        <v>GONZALEZ ALVAREZ, PEDRO ARTURO</v>
      </c>
      <c r="G197" s="21"/>
      <c r="H197" s="28">
        <v>20</v>
      </c>
      <c r="I197" s="28">
        <v>2</v>
      </c>
      <c r="J197" s="28">
        <v>2</v>
      </c>
      <c r="K197" s="28">
        <v>2</v>
      </c>
      <c r="L197" s="26" t="s">
        <v>2273</v>
      </c>
      <c r="M197" s="26" t="s">
        <v>1767</v>
      </c>
      <c r="N197" s="26" t="s">
        <v>1734</v>
      </c>
      <c r="O197" s="26" t="s">
        <v>2420</v>
      </c>
      <c r="P197" s="26" t="s">
        <v>1240</v>
      </c>
      <c r="Q197" s="26">
        <v>67016703729</v>
      </c>
      <c r="R197" s="34">
        <v>42935</v>
      </c>
      <c r="S197" s="34">
        <v>22405</v>
      </c>
      <c r="T197" s="35" t="s">
        <v>1241</v>
      </c>
      <c r="U197" s="26"/>
      <c r="V197" s="26" t="s">
        <v>1242</v>
      </c>
      <c r="W197" s="26"/>
      <c r="X197" s="26"/>
      <c r="Y197" s="26"/>
      <c r="Z197" s="26"/>
      <c r="AA197" s="26"/>
      <c r="AB197" s="26"/>
      <c r="AC197" s="34"/>
      <c r="AD197" s="26"/>
      <c r="AE197" s="26"/>
      <c r="AG197" s="22"/>
      <c r="AH197" s="11"/>
    </row>
    <row r="198" spans="1:34" s="10" customFormat="1" x14ac:dyDescent="0.25">
      <c r="A198" s="18"/>
      <c r="B198" s="19">
        <v>0</v>
      </c>
      <c r="C198" s="19">
        <v>0</v>
      </c>
      <c r="D198" s="19">
        <v>0</v>
      </c>
      <c r="E198" s="28">
        <v>555</v>
      </c>
      <c r="F198" s="20" t="str">
        <f t="shared" si="6"/>
        <v xml:space="preserve">CARRAZCO MALDONADO, ABRAHAM </v>
      </c>
      <c r="G198" s="21"/>
      <c r="H198" s="28">
        <v>20</v>
      </c>
      <c r="I198" s="28">
        <v>1</v>
      </c>
      <c r="J198" s="28">
        <v>2</v>
      </c>
      <c r="K198" s="28">
        <v>2</v>
      </c>
      <c r="L198" s="26" t="s">
        <v>2186</v>
      </c>
      <c r="M198" s="26" t="s">
        <v>2037</v>
      </c>
      <c r="N198" s="26" t="s">
        <v>1803</v>
      </c>
      <c r="O198" s="26" t="s">
        <v>2421</v>
      </c>
      <c r="P198" s="26" t="s">
        <v>1248</v>
      </c>
      <c r="Q198" s="26">
        <v>48058746412</v>
      </c>
      <c r="R198" s="34">
        <v>42958</v>
      </c>
      <c r="S198" s="34">
        <v>31852</v>
      </c>
      <c r="T198" s="35" t="s">
        <v>1249</v>
      </c>
      <c r="U198" s="26"/>
      <c r="V198" s="26" t="s">
        <v>1250</v>
      </c>
      <c r="W198" s="26"/>
      <c r="X198" s="26"/>
      <c r="Y198" s="26"/>
      <c r="Z198" s="26"/>
      <c r="AA198" s="26"/>
      <c r="AB198" s="26"/>
      <c r="AC198" s="34"/>
      <c r="AD198" s="26"/>
      <c r="AE198" s="26"/>
      <c r="AG198" s="22"/>
      <c r="AH198" s="11"/>
    </row>
    <row r="199" spans="1:34" s="10" customFormat="1" x14ac:dyDescent="0.25">
      <c r="A199" s="18"/>
      <c r="B199" s="19">
        <v>0</v>
      </c>
      <c r="C199" s="19">
        <v>0</v>
      </c>
      <c r="D199" s="19">
        <v>0</v>
      </c>
      <c r="E199" s="28">
        <v>556</v>
      </c>
      <c r="F199" s="20" t="str">
        <f t="shared" si="6"/>
        <v>MARTINEZ RAMIREZ, JOSE MANUEL</v>
      </c>
      <c r="G199" s="21"/>
      <c r="H199" s="28">
        <v>20</v>
      </c>
      <c r="I199" s="28">
        <v>2</v>
      </c>
      <c r="J199" s="28">
        <v>2</v>
      </c>
      <c r="K199" s="28">
        <v>2</v>
      </c>
      <c r="L199" s="26" t="s">
        <v>2126</v>
      </c>
      <c r="M199" s="26" t="s">
        <v>1765</v>
      </c>
      <c r="N199" s="26" t="s">
        <v>1724</v>
      </c>
      <c r="O199" s="26" t="s">
        <v>2422</v>
      </c>
      <c r="P199" s="26" t="s">
        <v>1254</v>
      </c>
      <c r="Q199" s="26">
        <v>96896715362</v>
      </c>
      <c r="R199" s="34">
        <v>42958</v>
      </c>
      <c r="S199" s="34">
        <v>24789</v>
      </c>
      <c r="T199" s="35">
        <v>43281958</v>
      </c>
      <c r="U199" s="26"/>
      <c r="V199" s="26" t="s">
        <v>1255</v>
      </c>
      <c r="W199" s="26"/>
      <c r="X199" s="26"/>
      <c r="Y199" s="26"/>
      <c r="Z199" s="26"/>
      <c r="AA199" s="26"/>
      <c r="AB199" s="26"/>
      <c r="AC199" s="34"/>
      <c r="AD199" s="26"/>
      <c r="AE199" s="26"/>
      <c r="AG199" s="22"/>
      <c r="AH199" s="11"/>
    </row>
    <row r="200" spans="1:34" s="10" customFormat="1" x14ac:dyDescent="0.25">
      <c r="A200" s="18"/>
      <c r="B200" s="19">
        <v>0</v>
      </c>
      <c r="C200" s="19">
        <v>0</v>
      </c>
      <c r="D200" s="19">
        <v>0</v>
      </c>
      <c r="E200" s="28">
        <v>557</v>
      </c>
      <c r="F200" s="20" t="str">
        <f t="shared" si="6"/>
        <v xml:space="preserve">LOPEZ OLMOS, GUILLERMO </v>
      </c>
      <c r="G200" s="21"/>
      <c r="H200" s="28">
        <v>20</v>
      </c>
      <c r="I200" s="28">
        <v>2</v>
      </c>
      <c r="J200" s="28">
        <v>2</v>
      </c>
      <c r="K200" s="28">
        <v>2</v>
      </c>
      <c r="L200" s="26" t="s">
        <v>2274</v>
      </c>
      <c r="M200" s="26" t="s">
        <v>1850</v>
      </c>
      <c r="N200" s="26" t="s">
        <v>2038</v>
      </c>
      <c r="O200" s="26" t="s">
        <v>2423</v>
      </c>
      <c r="P200" s="26" t="s">
        <v>1259</v>
      </c>
      <c r="Q200" s="26">
        <v>65887140278</v>
      </c>
      <c r="R200" s="34">
        <v>42965</v>
      </c>
      <c r="S200" s="34">
        <v>26174</v>
      </c>
      <c r="T200" s="35" t="s">
        <v>1260</v>
      </c>
      <c r="U200" s="26"/>
      <c r="V200" s="26" t="s">
        <v>1261</v>
      </c>
      <c r="W200" s="26"/>
      <c r="X200" s="26"/>
      <c r="Y200" s="26"/>
      <c r="Z200" s="26"/>
      <c r="AA200" s="26"/>
      <c r="AB200" s="26"/>
      <c r="AC200" s="34"/>
      <c r="AD200" s="26"/>
      <c r="AE200" s="26"/>
      <c r="AG200" s="22"/>
      <c r="AH200" s="11"/>
    </row>
    <row r="201" spans="1:34" s="10" customFormat="1" x14ac:dyDescent="0.25">
      <c r="A201" s="18"/>
      <c r="B201" s="19">
        <v>0</v>
      </c>
      <c r="C201" s="19">
        <v>0</v>
      </c>
      <c r="D201" s="19">
        <v>0</v>
      </c>
      <c r="E201" s="28">
        <v>558</v>
      </c>
      <c r="F201" s="20" t="str">
        <f t="shared" si="6"/>
        <v>CASTILLO MENDOZA, JUAN MANUEL</v>
      </c>
      <c r="G201" s="21"/>
      <c r="H201" s="28">
        <v>20</v>
      </c>
      <c r="I201" s="28">
        <v>2</v>
      </c>
      <c r="J201" s="28">
        <v>3</v>
      </c>
      <c r="K201" s="28">
        <v>2</v>
      </c>
      <c r="L201" s="26" t="s">
        <v>2275</v>
      </c>
      <c r="M201" s="26" t="s">
        <v>1745</v>
      </c>
      <c r="N201" s="26" t="s">
        <v>1709</v>
      </c>
      <c r="O201" s="26" t="s">
        <v>2424</v>
      </c>
      <c r="P201" s="26" t="s">
        <v>1265</v>
      </c>
      <c r="Q201" s="26">
        <v>94018121924</v>
      </c>
      <c r="R201" s="34">
        <v>42965</v>
      </c>
      <c r="S201" s="34">
        <v>29612</v>
      </c>
      <c r="T201" s="35" t="s">
        <v>1266</v>
      </c>
      <c r="U201" s="26"/>
      <c r="V201" s="26" t="s">
        <v>1267</v>
      </c>
      <c r="W201" s="26"/>
      <c r="X201" s="26"/>
      <c r="Y201" s="26"/>
      <c r="Z201" s="26"/>
      <c r="AA201" s="26"/>
      <c r="AB201" s="26"/>
      <c r="AC201" s="34"/>
      <c r="AD201" s="26"/>
      <c r="AE201" s="26"/>
      <c r="AG201" s="22"/>
      <c r="AH201" s="11"/>
    </row>
    <row r="202" spans="1:34" s="10" customFormat="1" x14ac:dyDescent="0.25">
      <c r="A202" s="18"/>
      <c r="B202" s="19">
        <v>0</v>
      </c>
      <c r="C202" s="19">
        <v>0</v>
      </c>
      <c r="D202" s="19">
        <v>0</v>
      </c>
      <c r="E202" s="28">
        <v>559</v>
      </c>
      <c r="F202" s="20" t="str">
        <f t="shared" si="6"/>
        <v xml:space="preserve">PALACIOS CRUZ, ALEJANDRO </v>
      </c>
      <c r="G202" s="21"/>
      <c r="H202" s="28">
        <v>20</v>
      </c>
      <c r="I202" s="28">
        <v>2</v>
      </c>
      <c r="J202" s="28">
        <v>2</v>
      </c>
      <c r="K202" s="28">
        <v>2</v>
      </c>
      <c r="L202" s="26" t="s">
        <v>2115</v>
      </c>
      <c r="M202" s="26" t="s">
        <v>2040</v>
      </c>
      <c r="N202" s="26" t="s">
        <v>1699</v>
      </c>
      <c r="O202" s="26" t="s">
        <v>1271</v>
      </c>
      <c r="P202" s="26" t="s">
        <v>1272</v>
      </c>
      <c r="Q202" s="26">
        <v>67997612006</v>
      </c>
      <c r="R202" s="34">
        <v>42972</v>
      </c>
      <c r="S202" s="34">
        <v>27830</v>
      </c>
      <c r="T202" s="35" t="s">
        <v>1273</v>
      </c>
      <c r="U202" s="26"/>
      <c r="V202" s="26" t="s">
        <v>1274</v>
      </c>
      <c r="W202" s="26"/>
      <c r="X202" s="26"/>
      <c r="Y202" s="26"/>
      <c r="Z202" s="26"/>
      <c r="AA202" s="26"/>
      <c r="AB202" s="26"/>
      <c r="AC202" s="34"/>
      <c r="AD202" s="26"/>
      <c r="AE202" s="26"/>
      <c r="AG202" s="22"/>
      <c r="AH202" s="11"/>
    </row>
    <row r="203" spans="1:34" s="10" customFormat="1" x14ac:dyDescent="0.25">
      <c r="A203" s="18"/>
      <c r="B203" s="19">
        <v>0</v>
      </c>
      <c r="C203" s="19">
        <v>0</v>
      </c>
      <c r="D203" s="19">
        <v>0</v>
      </c>
      <c r="E203" s="28">
        <v>560</v>
      </c>
      <c r="F203" s="20" t="str">
        <f t="shared" si="6"/>
        <v xml:space="preserve">GUERRERO JIMENEZ, VICTOR </v>
      </c>
      <c r="G203" s="21"/>
      <c r="H203" s="28">
        <v>20</v>
      </c>
      <c r="I203" s="28">
        <v>1</v>
      </c>
      <c r="J203" s="28">
        <v>3</v>
      </c>
      <c r="K203" s="28">
        <v>2</v>
      </c>
      <c r="L203" s="26" t="s">
        <v>2145</v>
      </c>
      <c r="M203" s="26" t="s">
        <v>193</v>
      </c>
      <c r="N203" s="26" t="s">
        <v>1795</v>
      </c>
      <c r="O203" s="26" t="s">
        <v>1277</v>
      </c>
      <c r="P203" s="26" t="s">
        <v>1278</v>
      </c>
      <c r="Q203" s="26">
        <v>15038615785</v>
      </c>
      <c r="R203" s="34">
        <v>42993</v>
      </c>
      <c r="S203" s="34">
        <v>31500</v>
      </c>
      <c r="T203" s="35" t="s">
        <v>1279</v>
      </c>
      <c r="U203" s="26"/>
      <c r="V203" s="26" t="s">
        <v>1280</v>
      </c>
      <c r="W203" s="26"/>
      <c r="X203" s="26"/>
      <c r="Y203" s="26"/>
      <c r="Z203" s="26"/>
      <c r="AA203" s="26"/>
      <c r="AB203" s="26"/>
      <c r="AC203" s="34"/>
      <c r="AD203" s="26"/>
      <c r="AE203" s="26"/>
      <c r="AG203" s="22"/>
      <c r="AH203" s="11"/>
    </row>
    <row r="204" spans="1:34" s="10" customFormat="1" x14ac:dyDescent="0.25">
      <c r="A204" s="18"/>
      <c r="B204" s="19">
        <v>0</v>
      </c>
      <c r="C204" s="19">
        <v>0</v>
      </c>
      <c r="D204" s="19">
        <v>0</v>
      </c>
      <c r="E204" s="28">
        <v>561</v>
      </c>
      <c r="F204" s="20" t="str">
        <f t="shared" si="6"/>
        <v xml:space="preserve">TEJEDA SANCHEZ, FRANCISCO </v>
      </c>
      <c r="G204" s="21"/>
      <c r="H204" s="28">
        <v>20</v>
      </c>
      <c r="I204" s="28">
        <v>2</v>
      </c>
      <c r="J204" s="28">
        <v>3</v>
      </c>
      <c r="K204" s="28">
        <v>2</v>
      </c>
      <c r="L204" s="26" t="s">
        <v>2213</v>
      </c>
      <c r="M204" s="26" t="s">
        <v>2041</v>
      </c>
      <c r="N204" s="26" t="s">
        <v>1862</v>
      </c>
      <c r="O204" s="26" t="s">
        <v>1283</v>
      </c>
      <c r="P204" s="26" t="s">
        <v>1284</v>
      </c>
      <c r="Q204" s="26">
        <v>4008518716</v>
      </c>
      <c r="R204" s="34">
        <v>42993</v>
      </c>
      <c r="S204" s="34">
        <v>31050</v>
      </c>
      <c r="T204" s="35" t="s">
        <v>1285</v>
      </c>
      <c r="U204" s="26"/>
      <c r="V204" s="26" t="s">
        <v>1286</v>
      </c>
      <c r="W204" s="26"/>
      <c r="X204" s="26"/>
      <c r="Y204" s="26"/>
      <c r="Z204" s="26"/>
      <c r="AA204" s="26"/>
      <c r="AB204" s="26"/>
      <c r="AC204" s="34"/>
      <c r="AD204" s="26"/>
      <c r="AE204" s="26"/>
      <c r="AG204" s="22"/>
      <c r="AH204" s="11"/>
    </row>
    <row r="205" spans="1:34" s="10" customFormat="1" x14ac:dyDescent="0.25">
      <c r="A205" s="18"/>
      <c r="B205" s="19">
        <v>0</v>
      </c>
      <c r="C205" s="19">
        <v>0</v>
      </c>
      <c r="D205" s="19">
        <v>0</v>
      </c>
      <c r="E205" s="28">
        <v>562</v>
      </c>
      <c r="F205" s="20" t="str">
        <f t="shared" si="6"/>
        <v>PALACIOS ESQUIVEL, JOSE LUIS</v>
      </c>
      <c r="G205" s="21"/>
      <c r="H205" s="28">
        <v>20</v>
      </c>
      <c r="I205" s="28">
        <v>2</v>
      </c>
      <c r="J205" s="28">
        <v>2</v>
      </c>
      <c r="K205" s="28">
        <v>2</v>
      </c>
      <c r="L205" s="26" t="s">
        <v>2276</v>
      </c>
      <c r="M205" s="26" t="s">
        <v>2040</v>
      </c>
      <c r="N205" s="26" t="s">
        <v>1944</v>
      </c>
      <c r="O205" s="26" t="s">
        <v>1291</v>
      </c>
      <c r="P205" s="26" t="s">
        <v>1292</v>
      </c>
      <c r="Q205" s="26">
        <v>6745101805</v>
      </c>
      <c r="R205" s="34">
        <v>39708</v>
      </c>
      <c r="S205" s="34">
        <v>18701</v>
      </c>
      <c r="T205" s="35"/>
      <c r="U205" s="26"/>
      <c r="V205" s="26" t="s">
        <v>1293</v>
      </c>
      <c r="W205" s="26"/>
      <c r="X205" s="26"/>
      <c r="Y205" s="26"/>
      <c r="Z205" s="26"/>
      <c r="AA205" s="26"/>
      <c r="AB205" s="26"/>
      <c r="AC205" s="34"/>
      <c r="AD205" s="26"/>
      <c r="AE205" s="26"/>
      <c r="AG205" s="22"/>
      <c r="AH205" s="11"/>
    </row>
    <row r="206" spans="1:34" s="10" customFormat="1" x14ac:dyDescent="0.25">
      <c r="A206" s="18"/>
      <c r="B206" s="19">
        <v>0</v>
      </c>
      <c r="C206" s="19">
        <v>0</v>
      </c>
      <c r="D206" s="19">
        <v>0</v>
      </c>
      <c r="E206" s="28">
        <v>563</v>
      </c>
      <c r="F206" s="20" t="str">
        <f t="shared" si="6"/>
        <v>GARNICA ANDRADE, GERARDO FIDEL</v>
      </c>
      <c r="G206" s="21"/>
      <c r="H206" s="28">
        <v>20</v>
      </c>
      <c r="I206" s="28">
        <v>1</v>
      </c>
      <c r="J206" s="28">
        <v>1</v>
      </c>
      <c r="K206" s="28">
        <v>2</v>
      </c>
      <c r="L206" s="26" t="s">
        <v>2277</v>
      </c>
      <c r="M206" s="26" t="s">
        <v>2042</v>
      </c>
      <c r="N206" s="26" t="s">
        <v>2043</v>
      </c>
      <c r="O206" s="26" t="s">
        <v>1298</v>
      </c>
      <c r="P206" s="26" t="s">
        <v>1299</v>
      </c>
      <c r="Q206" s="26">
        <v>54836728557</v>
      </c>
      <c r="R206" s="34">
        <v>43014</v>
      </c>
      <c r="S206" s="34">
        <v>24513</v>
      </c>
      <c r="T206" s="35" t="s">
        <v>1300</v>
      </c>
      <c r="U206" s="26"/>
      <c r="V206" s="26" t="s">
        <v>1301</v>
      </c>
      <c r="W206" s="26"/>
      <c r="X206" s="26"/>
      <c r="Y206" s="26"/>
      <c r="Z206" s="26"/>
      <c r="AA206" s="26"/>
      <c r="AB206" s="26"/>
      <c r="AC206" s="34"/>
      <c r="AD206" s="26"/>
      <c r="AE206" s="26"/>
      <c r="AG206" s="22"/>
      <c r="AH206" s="11"/>
    </row>
    <row r="207" spans="1:34" s="10" customFormat="1" x14ac:dyDescent="0.25">
      <c r="A207" s="18"/>
      <c r="B207" s="19">
        <v>0</v>
      </c>
      <c r="C207" s="19">
        <v>0</v>
      </c>
      <c r="D207" s="19">
        <v>0</v>
      </c>
      <c r="E207" s="28">
        <v>564</v>
      </c>
      <c r="F207" s="20" t="str">
        <f t="shared" si="6"/>
        <v>GONZALEZ TORRES, MARCO ANTONIO</v>
      </c>
      <c r="G207" s="21"/>
      <c r="H207" s="28">
        <v>20</v>
      </c>
      <c r="I207" s="28">
        <v>2</v>
      </c>
      <c r="J207" s="28">
        <v>2</v>
      </c>
      <c r="K207" s="28">
        <v>2</v>
      </c>
      <c r="L207" s="26" t="s">
        <v>2278</v>
      </c>
      <c r="M207" s="26" t="s">
        <v>1767</v>
      </c>
      <c r="N207" s="26" t="s">
        <v>1731</v>
      </c>
      <c r="O207" s="26" t="s">
        <v>1305</v>
      </c>
      <c r="P207" s="26" t="s">
        <v>1306</v>
      </c>
      <c r="Q207" s="26">
        <v>72058007989</v>
      </c>
      <c r="R207" s="34">
        <v>43015</v>
      </c>
      <c r="S207" s="34">
        <v>29354</v>
      </c>
      <c r="T207" s="35" t="s">
        <v>1307</v>
      </c>
      <c r="U207" s="26"/>
      <c r="V207" s="26" t="s">
        <v>1308</v>
      </c>
      <c r="W207" s="26"/>
      <c r="X207" s="26"/>
      <c r="Y207" s="26"/>
      <c r="Z207" s="26"/>
      <c r="AA207" s="26"/>
      <c r="AB207" s="26"/>
      <c r="AC207" s="34"/>
      <c r="AD207" s="26"/>
      <c r="AE207" s="26"/>
      <c r="AG207" s="22"/>
      <c r="AH207" s="11"/>
    </row>
    <row r="208" spans="1:34" s="10" customFormat="1" x14ac:dyDescent="0.25">
      <c r="A208" s="18"/>
      <c r="B208" s="19">
        <v>0</v>
      </c>
      <c r="C208" s="19">
        <v>0</v>
      </c>
      <c r="D208" s="19">
        <v>0</v>
      </c>
      <c r="E208" s="28">
        <v>565</v>
      </c>
      <c r="F208" s="20" t="str">
        <f t="shared" si="6"/>
        <v xml:space="preserve">MIRANDA MEJIA, JOSE </v>
      </c>
      <c r="G208" s="21"/>
      <c r="H208" s="28">
        <v>20</v>
      </c>
      <c r="I208" s="28">
        <v>1</v>
      </c>
      <c r="J208" s="28">
        <v>2</v>
      </c>
      <c r="K208" s="28">
        <v>2</v>
      </c>
      <c r="L208" s="26" t="s">
        <v>2252</v>
      </c>
      <c r="M208" s="26" t="s">
        <v>1814</v>
      </c>
      <c r="N208" s="26" t="s">
        <v>2046</v>
      </c>
      <c r="O208" s="26" t="s">
        <v>1311</v>
      </c>
      <c r="P208" s="26" t="s">
        <v>1312</v>
      </c>
      <c r="Q208" s="26">
        <v>72018331222</v>
      </c>
      <c r="R208" s="34">
        <v>43024</v>
      </c>
      <c r="S208" s="34">
        <v>30394</v>
      </c>
      <c r="T208" s="35" t="s">
        <v>1313</v>
      </c>
      <c r="U208" s="26"/>
      <c r="V208" s="26" t="s">
        <v>1314</v>
      </c>
      <c r="W208" s="26"/>
      <c r="X208" s="26"/>
      <c r="Y208" s="26"/>
      <c r="Z208" s="26"/>
      <c r="AA208" s="26"/>
      <c r="AB208" s="26"/>
      <c r="AC208" s="34"/>
      <c r="AD208" s="26"/>
      <c r="AE208" s="26"/>
      <c r="AG208" s="22"/>
      <c r="AH208" s="11"/>
    </row>
    <row r="209" spans="1:34" s="10" customFormat="1" x14ac:dyDescent="0.25">
      <c r="A209" s="18"/>
      <c r="B209" s="19">
        <v>0</v>
      </c>
      <c r="C209" s="19">
        <v>0</v>
      </c>
      <c r="D209" s="19">
        <v>0</v>
      </c>
      <c r="E209" s="28">
        <v>566</v>
      </c>
      <c r="F209" s="20" t="str">
        <f t="shared" si="6"/>
        <v xml:space="preserve">RODRIGUEZ ESPINOZA, ALEJANDRO </v>
      </c>
      <c r="G209" s="21"/>
      <c r="H209" s="28">
        <v>20</v>
      </c>
      <c r="I209" s="28">
        <v>1</v>
      </c>
      <c r="J209" s="28">
        <v>2</v>
      </c>
      <c r="K209" s="28">
        <v>2</v>
      </c>
      <c r="L209" s="26" t="s">
        <v>2115</v>
      </c>
      <c r="M209" s="26" t="s">
        <v>1718</v>
      </c>
      <c r="N209" s="26" t="s">
        <v>1766</v>
      </c>
      <c r="O209" s="26" t="s">
        <v>1319</v>
      </c>
      <c r="P209" s="26" t="s">
        <v>1320</v>
      </c>
      <c r="Q209" s="26">
        <v>96907227019</v>
      </c>
      <c r="R209" s="34">
        <v>43024</v>
      </c>
      <c r="S209" s="34">
        <v>26590</v>
      </c>
      <c r="T209" s="35">
        <v>457911035263</v>
      </c>
      <c r="U209" s="26"/>
      <c r="V209" s="26" t="s">
        <v>1321</v>
      </c>
      <c r="W209" s="26"/>
      <c r="X209" s="26"/>
      <c r="Y209" s="26"/>
      <c r="Z209" s="26"/>
      <c r="AA209" s="26"/>
      <c r="AB209" s="26"/>
      <c r="AC209" s="34"/>
      <c r="AD209" s="26"/>
      <c r="AE209" s="26"/>
      <c r="AG209" s="22"/>
      <c r="AH209" s="11"/>
    </row>
    <row r="210" spans="1:34" s="10" customFormat="1" x14ac:dyDescent="0.25">
      <c r="A210" s="18"/>
      <c r="B210" s="19">
        <v>0</v>
      </c>
      <c r="C210" s="19">
        <v>0</v>
      </c>
      <c r="D210" s="19">
        <v>0</v>
      </c>
      <c r="E210" s="28">
        <v>567</v>
      </c>
      <c r="F210" s="20" t="str">
        <f t="shared" si="6"/>
        <v>CHAVEZ MONTERROSA, JUAN JOSE</v>
      </c>
      <c r="G210" s="21"/>
      <c r="H210" s="28">
        <v>20</v>
      </c>
      <c r="I210" s="28">
        <v>1</v>
      </c>
      <c r="J210" s="28">
        <v>2</v>
      </c>
      <c r="K210" s="28">
        <v>2</v>
      </c>
      <c r="L210" s="26" t="s">
        <v>2153</v>
      </c>
      <c r="M210" s="26" t="s">
        <v>1754</v>
      </c>
      <c r="N210" s="26" t="s">
        <v>2047</v>
      </c>
      <c r="O210" s="26" t="s">
        <v>1325</v>
      </c>
      <c r="P210" s="26" t="s">
        <v>1326</v>
      </c>
      <c r="Q210" s="26">
        <v>94936603938</v>
      </c>
      <c r="R210" s="34">
        <v>43024</v>
      </c>
      <c r="S210" s="34">
        <v>25576</v>
      </c>
      <c r="T210" s="35" t="s">
        <v>1327</v>
      </c>
      <c r="U210" s="26"/>
      <c r="V210" s="26" t="s">
        <v>1328</v>
      </c>
      <c r="W210" s="26"/>
      <c r="X210" s="26"/>
      <c r="Y210" s="26"/>
      <c r="Z210" s="26"/>
      <c r="AA210" s="26"/>
      <c r="AB210" s="26"/>
      <c r="AC210" s="34"/>
      <c r="AD210" s="26"/>
      <c r="AE210" s="26"/>
      <c r="AG210" s="22"/>
      <c r="AH210" s="11"/>
    </row>
    <row r="211" spans="1:34" s="10" customFormat="1" x14ac:dyDescent="0.25">
      <c r="A211" s="18"/>
      <c r="B211" s="19">
        <v>0</v>
      </c>
      <c r="C211" s="19">
        <v>0</v>
      </c>
      <c r="D211" s="19">
        <v>0</v>
      </c>
      <c r="E211" s="28">
        <v>568</v>
      </c>
      <c r="F211" s="20" t="str">
        <f t="shared" si="6"/>
        <v xml:space="preserve">SANCHEZ MONTIEL, ADOLFO </v>
      </c>
      <c r="G211" s="21"/>
      <c r="H211" s="28">
        <v>20</v>
      </c>
      <c r="I211" s="28">
        <v>1</v>
      </c>
      <c r="J211" s="28">
        <v>2</v>
      </c>
      <c r="K211" s="28">
        <v>2</v>
      </c>
      <c r="L211" s="26" t="s">
        <v>2279</v>
      </c>
      <c r="M211" s="26" t="s">
        <v>1862</v>
      </c>
      <c r="N211" s="26" t="s">
        <v>1952</v>
      </c>
      <c r="O211" s="26" t="s">
        <v>1332</v>
      </c>
      <c r="P211" s="26" t="s">
        <v>1333</v>
      </c>
      <c r="Q211" s="26">
        <v>13846804725</v>
      </c>
      <c r="R211" s="34">
        <v>43025</v>
      </c>
      <c r="S211" s="34">
        <v>25108</v>
      </c>
      <c r="T211" s="35" t="s">
        <v>1334</v>
      </c>
      <c r="U211" s="26"/>
      <c r="V211" s="26" t="s">
        <v>1335</v>
      </c>
      <c r="W211" s="26"/>
      <c r="X211" s="26"/>
      <c r="Y211" s="26"/>
      <c r="Z211" s="26"/>
      <c r="AA211" s="26"/>
      <c r="AB211" s="26"/>
      <c r="AC211" s="34"/>
      <c r="AD211" s="26"/>
      <c r="AE211" s="26"/>
      <c r="AG211" s="22"/>
      <c r="AH211" s="11"/>
    </row>
    <row r="212" spans="1:34" s="10" customFormat="1" x14ac:dyDescent="0.25">
      <c r="A212" s="18"/>
      <c r="B212" s="19">
        <v>0</v>
      </c>
      <c r="C212" s="19">
        <v>0</v>
      </c>
      <c r="D212" s="19">
        <v>0</v>
      </c>
      <c r="E212" s="28">
        <v>569</v>
      </c>
      <c r="F212" s="20" t="str">
        <f t="shared" si="6"/>
        <v>BARRIOS MARAÃ‘ON, HECTOR AMAURY</v>
      </c>
      <c r="G212" s="21"/>
      <c r="H212" s="28">
        <v>20</v>
      </c>
      <c r="I212" s="28">
        <v>1</v>
      </c>
      <c r="J212" s="28">
        <v>2</v>
      </c>
      <c r="K212" s="28">
        <v>2</v>
      </c>
      <c r="L212" s="26" t="s">
        <v>2280</v>
      </c>
      <c r="M212" s="26" t="s">
        <v>2048</v>
      </c>
      <c r="N212" s="26" t="s">
        <v>2049</v>
      </c>
      <c r="O212" s="26" t="s">
        <v>1339</v>
      </c>
      <c r="P212" s="26" t="s">
        <v>1340</v>
      </c>
      <c r="Q212" s="26">
        <v>54846822481</v>
      </c>
      <c r="R212" s="34">
        <v>43028</v>
      </c>
      <c r="S212" s="34">
        <v>24834</v>
      </c>
      <c r="T212" s="35" t="s">
        <v>1341</v>
      </c>
      <c r="U212" s="26"/>
      <c r="V212" s="26" t="s">
        <v>1342</v>
      </c>
      <c r="W212" s="26"/>
      <c r="X212" s="26"/>
      <c r="Y212" s="26"/>
      <c r="Z212" s="26"/>
      <c r="AA212" s="26"/>
      <c r="AB212" s="26"/>
      <c r="AC212" s="34"/>
      <c r="AD212" s="26"/>
      <c r="AE212" s="26"/>
      <c r="AG212" s="22"/>
      <c r="AH212" s="11"/>
    </row>
    <row r="213" spans="1:34" s="10" customFormat="1" x14ac:dyDescent="0.25">
      <c r="A213" s="18"/>
      <c r="B213" s="19">
        <v>0</v>
      </c>
      <c r="C213" s="19">
        <v>0</v>
      </c>
      <c r="D213" s="19">
        <v>0</v>
      </c>
      <c r="E213" s="28">
        <v>570</v>
      </c>
      <c r="F213" s="20" t="str">
        <f t="shared" si="6"/>
        <v>AMAYA FLORES, GUSTAVO ALONSO</v>
      </c>
      <c r="G213" s="21"/>
      <c r="H213" s="28">
        <v>20</v>
      </c>
      <c r="I213" s="28">
        <v>1</v>
      </c>
      <c r="J213" s="28">
        <v>2</v>
      </c>
      <c r="K213" s="28">
        <v>2</v>
      </c>
      <c r="L213" s="26" t="s">
        <v>2281</v>
      </c>
      <c r="M213" s="26" t="s">
        <v>1704</v>
      </c>
      <c r="N213" s="26" t="s">
        <v>1705</v>
      </c>
      <c r="O213" s="26" t="s">
        <v>1347</v>
      </c>
      <c r="P213" s="26" t="s">
        <v>1348</v>
      </c>
      <c r="Q213" s="26">
        <v>4078812692</v>
      </c>
      <c r="R213" s="34">
        <v>43031</v>
      </c>
      <c r="S213" s="34">
        <v>32313</v>
      </c>
      <c r="T213" s="35" t="s">
        <v>1349</v>
      </c>
      <c r="U213" s="26"/>
      <c r="V213" s="26" t="s">
        <v>1350</v>
      </c>
      <c r="W213" s="26"/>
      <c r="X213" s="26"/>
      <c r="Y213" s="26"/>
      <c r="Z213" s="26"/>
      <c r="AA213" s="26"/>
      <c r="AB213" s="26"/>
      <c r="AC213" s="34"/>
      <c r="AD213" s="26"/>
      <c r="AE213" s="26"/>
      <c r="AG213" s="22"/>
      <c r="AH213" s="11"/>
    </row>
    <row r="214" spans="1:34" s="10" customFormat="1" x14ac:dyDescent="0.25">
      <c r="A214" s="18"/>
      <c r="B214" s="19">
        <v>0</v>
      </c>
      <c r="C214" s="19">
        <v>0</v>
      </c>
      <c r="D214" s="19">
        <v>0</v>
      </c>
      <c r="E214" s="28">
        <v>571</v>
      </c>
      <c r="F214" s="20" t="str">
        <f t="shared" si="6"/>
        <v xml:space="preserve">LEAL GOMEZ, RAFAEL </v>
      </c>
      <c r="G214" s="21"/>
      <c r="H214" s="28">
        <v>20</v>
      </c>
      <c r="I214" s="28">
        <v>1</v>
      </c>
      <c r="J214" s="28">
        <v>2</v>
      </c>
      <c r="K214" s="28">
        <v>2</v>
      </c>
      <c r="L214" s="26" t="s">
        <v>2282</v>
      </c>
      <c r="M214" s="26" t="s">
        <v>2051</v>
      </c>
      <c r="N214" s="26" t="s">
        <v>1777</v>
      </c>
      <c r="O214" s="26" t="s">
        <v>1354</v>
      </c>
      <c r="P214" s="26" t="s">
        <v>1355</v>
      </c>
      <c r="Q214" s="26">
        <v>65946903377</v>
      </c>
      <c r="R214" s="34">
        <v>43035</v>
      </c>
      <c r="S214" s="34">
        <v>26895</v>
      </c>
      <c r="T214" s="35" t="s">
        <v>1356</v>
      </c>
      <c r="U214" s="26"/>
      <c r="V214" s="26" t="s">
        <v>1357</v>
      </c>
      <c r="W214" s="26"/>
      <c r="X214" s="26"/>
      <c r="Y214" s="26"/>
      <c r="Z214" s="26"/>
      <c r="AA214" s="26"/>
      <c r="AB214" s="26"/>
      <c r="AC214" s="34"/>
      <c r="AD214" s="26"/>
      <c r="AE214" s="26"/>
      <c r="AG214" s="22"/>
      <c r="AH214" s="11"/>
    </row>
    <row r="215" spans="1:34" s="10" customFormat="1" x14ac:dyDescent="0.25">
      <c r="A215" s="18"/>
      <c r="B215" s="19">
        <v>0</v>
      </c>
      <c r="C215" s="19">
        <v>0</v>
      </c>
      <c r="D215" s="19">
        <v>0</v>
      </c>
      <c r="E215" s="28">
        <v>572</v>
      </c>
      <c r="F215" s="20" t="str">
        <f t="shared" si="6"/>
        <v xml:space="preserve">GONZALEZ CANALES, SANTIAGO </v>
      </c>
      <c r="G215" s="21"/>
      <c r="H215" s="28">
        <v>20</v>
      </c>
      <c r="I215" s="28">
        <v>1</v>
      </c>
      <c r="J215" s="28">
        <v>2</v>
      </c>
      <c r="K215" s="28">
        <v>2</v>
      </c>
      <c r="L215" s="26" t="s">
        <v>2283</v>
      </c>
      <c r="M215" s="26" t="s">
        <v>1767</v>
      </c>
      <c r="N215" s="26" t="s">
        <v>2053</v>
      </c>
      <c r="O215" s="26" t="s">
        <v>2425</v>
      </c>
      <c r="P215" s="26" t="s">
        <v>1362</v>
      </c>
      <c r="Q215" s="26">
        <v>48048654171</v>
      </c>
      <c r="R215" s="34">
        <v>43038</v>
      </c>
      <c r="S215" s="34">
        <v>31468</v>
      </c>
      <c r="T215" s="35" t="s">
        <v>1363</v>
      </c>
      <c r="U215" s="26"/>
      <c r="V215" s="26" t="s">
        <v>1364</v>
      </c>
      <c r="W215" s="26"/>
      <c r="X215" s="26"/>
      <c r="Y215" s="26"/>
      <c r="Z215" s="26"/>
      <c r="AA215" s="26"/>
      <c r="AB215" s="26"/>
      <c r="AC215" s="34"/>
      <c r="AD215" s="26"/>
      <c r="AE215" s="26"/>
      <c r="AG215" s="22"/>
      <c r="AH215" s="11"/>
    </row>
    <row r="216" spans="1:34" s="10" customFormat="1" x14ac:dyDescent="0.25">
      <c r="A216" s="18"/>
      <c r="B216" s="19">
        <v>0</v>
      </c>
      <c r="C216" s="19">
        <v>0</v>
      </c>
      <c r="D216" s="19">
        <v>0</v>
      </c>
      <c r="E216" s="28">
        <v>573</v>
      </c>
      <c r="F216" s="20" t="str">
        <f t="shared" si="6"/>
        <v>GONZALEZ PEREZ, JULIO EDUARDO</v>
      </c>
      <c r="G216" s="21"/>
      <c r="H216" s="28">
        <v>20</v>
      </c>
      <c r="I216" s="28">
        <v>2</v>
      </c>
      <c r="J216" s="28">
        <v>2</v>
      </c>
      <c r="K216" s="28">
        <v>2</v>
      </c>
      <c r="L216" s="26" t="s">
        <v>2284</v>
      </c>
      <c r="M216" s="26" t="s">
        <v>1767</v>
      </c>
      <c r="N216" s="26" t="s">
        <v>1838</v>
      </c>
      <c r="O216" s="26" t="s">
        <v>1368</v>
      </c>
      <c r="P216" s="26" t="s">
        <v>1369</v>
      </c>
      <c r="Q216" s="26">
        <v>92987941918</v>
      </c>
      <c r="R216" s="34">
        <v>43042</v>
      </c>
      <c r="S216" s="34">
        <v>28921</v>
      </c>
      <c r="T216" s="35" t="s">
        <v>1370</v>
      </c>
      <c r="U216" s="26"/>
      <c r="V216" s="26" t="s">
        <v>1371</v>
      </c>
      <c r="W216" s="26"/>
      <c r="X216" s="26"/>
      <c r="Y216" s="26"/>
      <c r="Z216" s="26"/>
      <c r="AA216" s="26"/>
      <c r="AB216" s="26"/>
      <c r="AC216" s="34"/>
      <c r="AD216" s="26"/>
      <c r="AE216" s="26"/>
      <c r="AG216" s="22"/>
      <c r="AH216" s="11"/>
    </row>
    <row r="217" spans="1:34" s="10" customFormat="1" x14ac:dyDescent="0.25">
      <c r="A217" s="18"/>
      <c r="B217" s="19">
        <v>0</v>
      </c>
      <c r="C217" s="19">
        <v>0</v>
      </c>
      <c r="D217" s="19">
        <v>0</v>
      </c>
      <c r="E217" s="28">
        <v>574</v>
      </c>
      <c r="F217" s="20" t="str">
        <f t="shared" si="6"/>
        <v>ENGRANDE LOPEZ, JUAN ROSENDO</v>
      </c>
      <c r="G217" s="21"/>
      <c r="H217" s="28">
        <v>20</v>
      </c>
      <c r="I217" s="28">
        <v>2</v>
      </c>
      <c r="J217" s="28">
        <v>3</v>
      </c>
      <c r="K217" s="28">
        <v>2</v>
      </c>
      <c r="L217" s="26" t="s">
        <v>2285</v>
      </c>
      <c r="M217" s="26" t="s">
        <v>2055</v>
      </c>
      <c r="N217" s="26" t="s">
        <v>1850</v>
      </c>
      <c r="O217" s="26" t="s">
        <v>1376</v>
      </c>
      <c r="P217" s="26" t="s">
        <v>1377</v>
      </c>
      <c r="Q217" s="26">
        <v>16927140315</v>
      </c>
      <c r="R217" s="34">
        <v>43042</v>
      </c>
      <c r="S217" s="34">
        <v>25995</v>
      </c>
      <c r="T217" s="35" t="s">
        <v>1378</v>
      </c>
      <c r="U217" s="26"/>
      <c r="V217" s="26" t="s">
        <v>1379</v>
      </c>
      <c r="W217" s="26"/>
      <c r="X217" s="26"/>
      <c r="Y217" s="26"/>
      <c r="Z217" s="26"/>
      <c r="AA217" s="26"/>
      <c r="AB217" s="26"/>
      <c r="AC217" s="34"/>
      <c r="AD217" s="26"/>
      <c r="AE217" s="26"/>
      <c r="AG217" s="22"/>
      <c r="AH217" s="11"/>
    </row>
    <row r="218" spans="1:34" s="10" customFormat="1" x14ac:dyDescent="0.25">
      <c r="A218" s="18"/>
      <c r="B218" s="19">
        <v>0</v>
      </c>
      <c r="C218" s="19">
        <v>0</v>
      </c>
      <c r="D218" s="19">
        <v>0</v>
      </c>
      <c r="E218" s="28">
        <v>575</v>
      </c>
      <c r="F218" s="20" t="str">
        <f t="shared" si="6"/>
        <v>CARRILLO VARGAS, ARAM GERARDO</v>
      </c>
      <c r="G218" s="21"/>
      <c r="H218" s="28">
        <v>17</v>
      </c>
      <c r="I218" s="28">
        <v>1</v>
      </c>
      <c r="J218" s="28">
        <v>2</v>
      </c>
      <c r="K218" s="28">
        <v>2</v>
      </c>
      <c r="L218" s="26" t="s">
        <v>2286</v>
      </c>
      <c r="M218" s="26" t="s">
        <v>1733</v>
      </c>
      <c r="N218" s="26" t="s">
        <v>1715</v>
      </c>
      <c r="O218" s="26" t="s">
        <v>1384</v>
      </c>
      <c r="P218" s="26" t="s">
        <v>1385</v>
      </c>
      <c r="Q218" s="26">
        <v>31109404892</v>
      </c>
      <c r="R218" s="34">
        <v>43042</v>
      </c>
      <c r="S218" s="34">
        <v>34472</v>
      </c>
      <c r="T218" s="35" t="s">
        <v>1386</v>
      </c>
      <c r="U218" s="26"/>
      <c r="V218" s="26" t="s">
        <v>1387</v>
      </c>
      <c r="W218" s="26"/>
      <c r="X218" s="26"/>
      <c r="Y218" s="26"/>
      <c r="Z218" s="26"/>
      <c r="AA218" s="26"/>
      <c r="AB218" s="26"/>
      <c r="AC218" s="34"/>
      <c r="AD218" s="26"/>
      <c r="AE218" s="26"/>
      <c r="AG218" s="22"/>
      <c r="AH218" s="11"/>
    </row>
    <row r="219" spans="1:34" s="10" customFormat="1" x14ac:dyDescent="0.25">
      <c r="A219" s="18"/>
      <c r="B219" s="19">
        <v>0</v>
      </c>
      <c r="C219" s="19">
        <v>0</v>
      </c>
      <c r="D219" s="19">
        <v>0</v>
      </c>
      <c r="E219" s="28">
        <v>576</v>
      </c>
      <c r="F219" s="20" t="str">
        <f t="shared" si="6"/>
        <v>AGUILAR LOPEZ, ANGEL LAURO</v>
      </c>
      <c r="G219" s="21"/>
      <c r="H219" s="28">
        <v>20</v>
      </c>
      <c r="I219" s="28">
        <v>2</v>
      </c>
      <c r="J219" s="28">
        <v>2</v>
      </c>
      <c r="K219" s="28">
        <v>2</v>
      </c>
      <c r="L219" s="26" t="s">
        <v>2287</v>
      </c>
      <c r="M219" s="26" t="s">
        <v>1869</v>
      </c>
      <c r="N219" s="26" t="s">
        <v>1850</v>
      </c>
      <c r="O219" s="26" t="s">
        <v>1390</v>
      </c>
      <c r="P219" s="26" t="s">
        <v>1391</v>
      </c>
      <c r="Q219" s="26">
        <v>2927427167</v>
      </c>
      <c r="R219" s="34">
        <v>43045</v>
      </c>
      <c r="S219" s="34">
        <v>27304</v>
      </c>
      <c r="T219" s="35" t="s">
        <v>1392</v>
      </c>
      <c r="U219" s="26"/>
      <c r="V219" s="26" t="s">
        <v>1393</v>
      </c>
      <c r="W219" s="26"/>
      <c r="X219" s="26"/>
      <c r="Y219" s="26"/>
      <c r="Z219" s="26"/>
      <c r="AA219" s="26"/>
      <c r="AB219" s="26"/>
      <c r="AC219" s="34"/>
      <c r="AD219" s="26"/>
      <c r="AE219" s="26"/>
      <c r="AG219" s="22"/>
      <c r="AH219" s="11"/>
    </row>
    <row r="220" spans="1:34" s="10" customFormat="1" x14ac:dyDescent="0.25">
      <c r="A220" s="18"/>
      <c r="B220" s="19">
        <v>0</v>
      </c>
      <c r="C220" s="19">
        <v>0</v>
      </c>
      <c r="D220" s="19">
        <v>0</v>
      </c>
      <c r="E220" s="28">
        <v>577</v>
      </c>
      <c r="F220" s="20" t="str">
        <f t="shared" si="6"/>
        <v xml:space="preserve">BAÃ‘UELOS RIVERA, ANTONIO </v>
      </c>
      <c r="G220" s="21"/>
      <c r="H220" s="28">
        <v>20</v>
      </c>
      <c r="I220" s="28">
        <v>2</v>
      </c>
      <c r="J220" s="28">
        <v>2</v>
      </c>
      <c r="K220" s="28">
        <v>2</v>
      </c>
      <c r="L220" s="26" t="s">
        <v>2288</v>
      </c>
      <c r="M220" s="26" t="s">
        <v>2059</v>
      </c>
      <c r="N220" s="26" t="s">
        <v>1849</v>
      </c>
      <c r="O220" s="26" t="s">
        <v>1398</v>
      </c>
      <c r="P220" s="26" t="s">
        <v>1399</v>
      </c>
      <c r="Q220" s="26">
        <v>9288692337</v>
      </c>
      <c r="R220" s="34">
        <v>43070</v>
      </c>
      <c r="S220" s="34">
        <v>25486</v>
      </c>
      <c r="T220" s="35" t="s">
        <v>1400</v>
      </c>
      <c r="U220" s="26"/>
      <c r="V220" s="26" t="s">
        <v>1401</v>
      </c>
      <c r="W220" s="26"/>
      <c r="X220" s="26"/>
      <c r="Y220" s="26"/>
      <c r="Z220" s="26"/>
      <c r="AA220" s="26"/>
      <c r="AB220" s="26"/>
      <c r="AC220" s="34"/>
      <c r="AD220" s="26"/>
      <c r="AE220" s="26"/>
      <c r="AG220" s="22"/>
      <c r="AH220" s="11"/>
    </row>
    <row r="221" spans="1:34" s="10" customFormat="1" x14ac:dyDescent="0.25">
      <c r="A221" s="18"/>
      <c r="B221" s="19">
        <v>0</v>
      </c>
      <c r="C221" s="19">
        <v>0</v>
      </c>
      <c r="D221" s="19">
        <v>0</v>
      </c>
      <c r="E221" s="28">
        <v>578</v>
      </c>
      <c r="F221" s="20" t="str">
        <f t="shared" si="6"/>
        <v xml:space="preserve">SILVA CAMPBELL, GERARDO </v>
      </c>
      <c r="G221" s="21"/>
      <c r="H221" s="28">
        <v>20</v>
      </c>
      <c r="I221" s="28">
        <v>2</v>
      </c>
      <c r="J221" s="28">
        <v>3</v>
      </c>
      <c r="K221" s="28">
        <v>2</v>
      </c>
      <c r="L221" s="26" t="s">
        <v>2124</v>
      </c>
      <c r="M221" s="26" t="s">
        <v>2060</v>
      </c>
      <c r="N221" s="26" t="s">
        <v>2061</v>
      </c>
      <c r="O221" s="26" t="s">
        <v>1406</v>
      </c>
      <c r="P221" s="26" t="s">
        <v>1407</v>
      </c>
      <c r="Q221" s="26">
        <v>65047812212</v>
      </c>
      <c r="R221" s="34">
        <v>43073</v>
      </c>
      <c r="S221" s="34">
        <v>28585</v>
      </c>
      <c r="T221" s="35" t="s">
        <v>1408</v>
      </c>
      <c r="U221" s="26"/>
      <c r="V221" s="26" t="s">
        <v>1409</v>
      </c>
      <c r="W221" s="26"/>
      <c r="X221" s="26"/>
      <c r="Y221" s="26"/>
      <c r="Z221" s="26"/>
      <c r="AA221" s="26"/>
      <c r="AB221" s="26"/>
      <c r="AC221" s="34"/>
      <c r="AD221" s="26"/>
      <c r="AE221" s="26"/>
      <c r="AG221" s="22"/>
      <c r="AH221" s="11"/>
    </row>
    <row r="222" spans="1:34" s="10" customFormat="1" x14ac:dyDescent="0.25">
      <c r="A222" s="18"/>
      <c r="B222" s="19">
        <v>0</v>
      </c>
      <c r="C222" s="19">
        <v>0</v>
      </c>
      <c r="D222" s="19">
        <v>0</v>
      </c>
      <c r="E222" s="28">
        <v>579</v>
      </c>
      <c r="F222" s="20" t="str">
        <f t="shared" si="6"/>
        <v xml:space="preserve">VARGAS CARRASCO, ALFREDO </v>
      </c>
      <c r="G222" s="21"/>
      <c r="H222" s="28">
        <v>20</v>
      </c>
      <c r="I222" s="28">
        <v>1</v>
      </c>
      <c r="J222" s="28">
        <v>2</v>
      </c>
      <c r="K222" s="28">
        <v>2</v>
      </c>
      <c r="L222" s="26" t="s">
        <v>2253</v>
      </c>
      <c r="M222" s="26" t="s">
        <v>1715</v>
      </c>
      <c r="N222" s="26" t="s">
        <v>2062</v>
      </c>
      <c r="O222" s="26" t="s">
        <v>1413</v>
      </c>
      <c r="P222" s="26" t="s">
        <v>1414</v>
      </c>
      <c r="Q222" s="26">
        <v>48078500625</v>
      </c>
      <c r="R222" s="34">
        <v>43073</v>
      </c>
      <c r="S222" s="34">
        <v>31233</v>
      </c>
      <c r="T222" s="35" t="s">
        <v>1415</v>
      </c>
      <c r="U222" s="26"/>
      <c r="V222" s="26" t="s">
        <v>1416</v>
      </c>
      <c r="W222" s="26"/>
      <c r="X222" s="26"/>
      <c r="Y222" s="26"/>
      <c r="Z222" s="26"/>
      <c r="AA222" s="26"/>
      <c r="AB222" s="26"/>
      <c r="AC222" s="34"/>
      <c r="AD222" s="26"/>
      <c r="AE222" s="26"/>
      <c r="AG222" s="22"/>
      <c r="AH222" s="11"/>
    </row>
    <row r="223" spans="1:34" s="10" customFormat="1" x14ac:dyDescent="0.25">
      <c r="A223" s="18"/>
      <c r="B223" s="19">
        <v>0</v>
      </c>
      <c r="C223" s="19">
        <v>0</v>
      </c>
      <c r="D223" s="19">
        <v>0</v>
      </c>
      <c r="E223" s="28">
        <v>580</v>
      </c>
      <c r="F223" s="20" t="str">
        <f t="shared" si="6"/>
        <v xml:space="preserve">PEREZ SALINAS, ALEJANDRO </v>
      </c>
      <c r="G223" s="21"/>
      <c r="H223" s="28">
        <v>20</v>
      </c>
      <c r="I223" s="28">
        <v>2</v>
      </c>
      <c r="J223" s="28">
        <v>2</v>
      </c>
      <c r="K223" s="28">
        <v>2</v>
      </c>
      <c r="L223" s="26" t="s">
        <v>2115</v>
      </c>
      <c r="M223" s="26" t="s">
        <v>1838</v>
      </c>
      <c r="N223" s="26" t="s">
        <v>1848</v>
      </c>
      <c r="O223" s="26" t="s">
        <v>1419</v>
      </c>
      <c r="P223" s="26" t="s">
        <v>1420</v>
      </c>
      <c r="Q223" s="26">
        <v>14907433479</v>
      </c>
      <c r="R223" s="34">
        <v>43074</v>
      </c>
      <c r="S223" s="34">
        <v>27051</v>
      </c>
      <c r="T223" s="35" t="s">
        <v>1421</v>
      </c>
      <c r="U223" s="26"/>
      <c r="V223" s="26" t="s">
        <v>1422</v>
      </c>
      <c r="W223" s="26"/>
      <c r="X223" s="26"/>
      <c r="Y223" s="26"/>
      <c r="Z223" s="26"/>
      <c r="AA223" s="26"/>
      <c r="AB223" s="26"/>
      <c r="AC223" s="34"/>
      <c r="AD223" s="26"/>
      <c r="AE223" s="26"/>
      <c r="AG223" s="22"/>
      <c r="AH223" s="11"/>
    </row>
    <row r="224" spans="1:34" s="10" customFormat="1" x14ac:dyDescent="0.25">
      <c r="A224" s="18"/>
      <c r="B224" s="19">
        <v>0</v>
      </c>
      <c r="C224" s="19">
        <v>0</v>
      </c>
      <c r="D224" s="19">
        <v>0</v>
      </c>
      <c r="E224" s="28">
        <v>581</v>
      </c>
      <c r="F224" s="20" t="str">
        <f t="shared" si="6"/>
        <v xml:space="preserve">GOMEZ DOMINGUEZ, GUSTAVO </v>
      </c>
      <c r="G224" s="21"/>
      <c r="H224" s="28">
        <v>19</v>
      </c>
      <c r="I224" s="28">
        <v>1</v>
      </c>
      <c r="J224" s="28">
        <v>2</v>
      </c>
      <c r="K224" s="28">
        <v>2</v>
      </c>
      <c r="L224" s="26" t="s">
        <v>2183</v>
      </c>
      <c r="M224" s="26" t="s">
        <v>1777</v>
      </c>
      <c r="N224" s="26" t="s">
        <v>2063</v>
      </c>
      <c r="O224" s="26" t="s">
        <v>2426</v>
      </c>
      <c r="P224" s="26" t="s">
        <v>1427</v>
      </c>
      <c r="Q224" s="26">
        <v>33816004825</v>
      </c>
      <c r="R224" s="34">
        <v>43076</v>
      </c>
      <c r="S224" s="34">
        <v>21983</v>
      </c>
      <c r="T224" s="35" t="s">
        <v>1428</v>
      </c>
      <c r="U224" s="26"/>
      <c r="V224" s="26" t="s">
        <v>1429</v>
      </c>
      <c r="W224" s="26"/>
      <c r="X224" s="26"/>
      <c r="Y224" s="26"/>
      <c r="Z224" s="26"/>
      <c r="AA224" s="26"/>
      <c r="AB224" s="26"/>
      <c r="AC224" s="34"/>
      <c r="AD224" s="26"/>
      <c r="AE224" s="26"/>
      <c r="AG224" s="22"/>
      <c r="AH224" s="11"/>
    </row>
    <row r="225" spans="1:34" s="10" customFormat="1" x14ac:dyDescent="0.25">
      <c r="A225" s="18"/>
      <c r="B225" s="19">
        <v>0</v>
      </c>
      <c r="C225" s="19">
        <v>0</v>
      </c>
      <c r="D225" s="19">
        <v>0</v>
      </c>
      <c r="E225" s="28">
        <v>582</v>
      </c>
      <c r="F225" s="20" t="str">
        <f t="shared" si="6"/>
        <v>MORALES JIMENEZ, JOSE PRISCILIANO</v>
      </c>
      <c r="G225" s="21"/>
      <c r="H225" s="28">
        <v>20</v>
      </c>
      <c r="I225" s="28">
        <v>2</v>
      </c>
      <c r="J225" s="28">
        <v>2</v>
      </c>
      <c r="K225" s="28">
        <v>2</v>
      </c>
      <c r="L225" s="26" t="s">
        <v>2289</v>
      </c>
      <c r="M225" s="26" t="s">
        <v>1822</v>
      </c>
      <c r="N225" s="26" t="s">
        <v>1795</v>
      </c>
      <c r="O225" s="26" t="s">
        <v>1433</v>
      </c>
      <c r="P225" s="26" t="s">
        <v>1434</v>
      </c>
      <c r="Q225" s="26">
        <v>62947064317</v>
      </c>
      <c r="R225" s="34">
        <v>43087</v>
      </c>
      <c r="S225" s="34">
        <v>25860</v>
      </c>
      <c r="T225" s="35" t="s">
        <v>1435</v>
      </c>
      <c r="U225" s="26"/>
      <c r="V225" s="26" t="s">
        <v>1436</v>
      </c>
      <c r="W225" s="26"/>
      <c r="X225" s="26"/>
      <c r="Y225" s="26"/>
      <c r="Z225" s="26"/>
      <c r="AA225" s="26"/>
      <c r="AB225" s="26"/>
      <c r="AC225" s="34"/>
      <c r="AD225" s="26"/>
      <c r="AE225" s="26"/>
      <c r="AG225" s="22"/>
      <c r="AH225" s="11"/>
    </row>
    <row r="226" spans="1:34" s="10" customFormat="1" x14ac:dyDescent="0.25">
      <c r="A226" s="18"/>
      <c r="B226" s="19">
        <v>0</v>
      </c>
      <c r="C226" s="19">
        <v>0</v>
      </c>
      <c r="D226" s="19">
        <v>0</v>
      </c>
      <c r="E226" s="28">
        <v>583</v>
      </c>
      <c r="F226" s="20" t="str">
        <f t="shared" si="6"/>
        <v>VILLAZANA ARTEAGA, JESUS ERNESTO</v>
      </c>
      <c r="G226" s="21"/>
      <c r="H226" s="28">
        <v>20</v>
      </c>
      <c r="I226" s="28">
        <v>1</v>
      </c>
      <c r="J226" s="28">
        <v>3</v>
      </c>
      <c r="K226" s="28">
        <v>2</v>
      </c>
      <c r="L226" s="26" t="s">
        <v>2290</v>
      </c>
      <c r="M226" s="26" t="s">
        <v>2065</v>
      </c>
      <c r="N226" s="26" t="s">
        <v>2066</v>
      </c>
      <c r="O226" s="26" t="s">
        <v>1440</v>
      </c>
      <c r="P226" s="26" t="s">
        <v>1441</v>
      </c>
      <c r="Q226" s="26">
        <v>72008323882</v>
      </c>
      <c r="R226" s="34">
        <v>43095</v>
      </c>
      <c r="S226" s="34">
        <v>30418</v>
      </c>
      <c r="T226" s="35" t="s">
        <v>1442</v>
      </c>
      <c r="U226" s="26"/>
      <c r="V226" s="26" t="s">
        <v>1443</v>
      </c>
      <c r="W226" s="26"/>
      <c r="X226" s="26"/>
      <c r="Y226" s="26"/>
      <c r="Z226" s="26"/>
      <c r="AA226" s="26"/>
      <c r="AB226" s="26"/>
      <c r="AC226" s="34"/>
      <c r="AD226" s="26"/>
      <c r="AE226" s="26"/>
      <c r="AG226" s="22"/>
      <c r="AH226" s="11"/>
    </row>
    <row r="227" spans="1:34" s="10" customFormat="1" x14ac:dyDescent="0.25">
      <c r="A227" s="18"/>
      <c r="B227" s="19">
        <v>0</v>
      </c>
      <c r="C227" s="19">
        <v>0</v>
      </c>
      <c r="D227" s="19">
        <v>0</v>
      </c>
      <c r="E227" s="28">
        <v>584</v>
      </c>
      <c r="F227" s="20" t="str">
        <f t="shared" si="6"/>
        <v>COTA ESQUER, ADAN ABEL</v>
      </c>
      <c r="G227" s="21"/>
      <c r="H227" s="28">
        <v>17</v>
      </c>
      <c r="I227" s="28">
        <v>1</v>
      </c>
      <c r="J227" s="28">
        <v>2</v>
      </c>
      <c r="K227" s="28">
        <v>2</v>
      </c>
      <c r="L227" s="26" t="s">
        <v>2291</v>
      </c>
      <c r="M227" s="26" t="s">
        <v>1759</v>
      </c>
      <c r="N227" s="26" t="s">
        <v>2067</v>
      </c>
      <c r="O227" s="26" t="s">
        <v>1446</v>
      </c>
      <c r="P227" s="26" t="s">
        <v>1447</v>
      </c>
      <c r="Q227" s="26">
        <v>24937379527</v>
      </c>
      <c r="R227" s="34">
        <v>43091</v>
      </c>
      <c r="S227" s="34">
        <v>26834</v>
      </c>
      <c r="T227" s="35" t="s">
        <v>1448</v>
      </c>
      <c r="U227" s="26"/>
      <c r="V227" s="26" t="s">
        <v>1449</v>
      </c>
      <c r="W227" s="26"/>
      <c r="X227" s="26"/>
      <c r="Y227" s="26"/>
      <c r="Z227" s="26"/>
      <c r="AA227" s="26"/>
      <c r="AB227" s="26"/>
      <c r="AC227" s="34"/>
      <c r="AD227" s="26"/>
      <c r="AE227" s="26"/>
      <c r="AG227" s="22"/>
      <c r="AH227" s="11"/>
    </row>
    <row r="228" spans="1:34" s="10" customFormat="1" x14ac:dyDescent="0.25">
      <c r="A228" s="18"/>
      <c r="B228" s="19">
        <v>0</v>
      </c>
      <c r="C228" s="19">
        <v>0</v>
      </c>
      <c r="D228" s="19">
        <v>0</v>
      </c>
      <c r="E228" s="28">
        <v>585</v>
      </c>
      <c r="F228" s="20" t="str">
        <f t="shared" si="6"/>
        <v xml:space="preserve">OLVERASOLIS FLAVIO,  </v>
      </c>
      <c r="G228" s="21"/>
      <c r="H228" s="28">
        <v>20</v>
      </c>
      <c r="I228" s="28">
        <v>1</v>
      </c>
      <c r="J228" s="28">
        <v>2</v>
      </c>
      <c r="K228" s="28">
        <v>2</v>
      </c>
      <c r="L228" s="26" t="s">
        <v>2236</v>
      </c>
      <c r="M228" s="26" t="s">
        <v>2070</v>
      </c>
      <c r="N228" s="26" t="s">
        <v>2071</v>
      </c>
      <c r="O228" s="26" t="s">
        <v>1452</v>
      </c>
      <c r="P228" s="26" t="s">
        <v>1453</v>
      </c>
      <c r="Q228" s="26">
        <v>30816361353</v>
      </c>
      <c r="R228" s="34">
        <v>43096</v>
      </c>
      <c r="S228" s="34">
        <v>23967</v>
      </c>
      <c r="T228" s="35" t="s">
        <v>1454</v>
      </c>
      <c r="U228" s="26"/>
      <c r="V228" s="26" t="s">
        <v>1455</v>
      </c>
      <c r="W228" s="26"/>
      <c r="X228" s="26"/>
      <c r="Y228" s="26"/>
      <c r="Z228" s="26"/>
      <c r="AA228" s="26"/>
      <c r="AB228" s="26"/>
      <c r="AC228" s="34"/>
      <c r="AD228" s="26"/>
      <c r="AE228" s="26"/>
      <c r="AG228" s="22"/>
      <c r="AH228" s="11"/>
    </row>
    <row r="229" spans="1:34" s="10" customFormat="1" x14ac:dyDescent="0.25">
      <c r="A229" s="18"/>
      <c r="B229" s="19">
        <v>0</v>
      </c>
      <c r="C229" s="19">
        <v>0</v>
      </c>
      <c r="D229" s="19">
        <v>0</v>
      </c>
      <c r="E229" s="28">
        <v>586</v>
      </c>
      <c r="F229" s="20" t="str">
        <f t="shared" si="6"/>
        <v>COTA ESQUER, ADAN ABEL</v>
      </c>
      <c r="G229" s="21"/>
      <c r="H229" s="28">
        <v>7</v>
      </c>
      <c r="I229" s="28">
        <v>1</v>
      </c>
      <c r="J229" s="28">
        <v>2</v>
      </c>
      <c r="K229" s="28">
        <v>2</v>
      </c>
      <c r="L229" s="26" t="s">
        <v>2291</v>
      </c>
      <c r="M229" s="26" t="s">
        <v>1759</v>
      </c>
      <c r="N229" s="26" t="s">
        <v>2067</v>
      </c>
      <c r="O229" s="26" t="s">
        <v>1446</v>
      </c>
      <c r="P229" s="26" t="s">
        <v>1447</v>
      </c>
      <c r="Q229" s="26">
        <v>24937379527</v>
      </c>
      <c r="R229" s="34">
        <v>43091</v>
      </c>
      <c r="S229" s="34">
        <v>26834</v>
      </c>
      <c r="T229" s="35" t="s">
        <v>1448</v>
      </c>
      <c r="U229" s="26"/>
      <c r="V229" s="26" t="s">
        <v>1449</v>
      </c>
      <c r="W229" s="26"/>
      <c r="X229" s="26"/>
      <c r="Y229" s="26"/>
      <c r="Z229" s="26"/>
      <c r="AA229" s="26"/>
      <c r="AB229" s="26"/>
      <c r="AC229" s="34"/>
      <c r="AD229" s="26"/>
      <c r="AE229" s="26"/>
      <c r="AG229" s="22"/>
      <c r="AH229" s="11"/>
    </row>
    <row r="230" spans="1:34" s="10" customFormat="1" x14ac:dyDescent="0.25">
      <c r="A230" s="18"/>
      <c r="B230" s="19">
        <v>0</v>
      </c>
      <c r="C230" s="19">
        <v>0</v>
      </c>
      <c r="D230" s="19">
        <v>0</v>
      </c>
      <c r="E230" s="28">
        <v>587</v>
      </c>
      <c r="F230" s="20" t="str">
        <f t="shared" si="6"/>
        <v>MURILLO CASTELLANOS, MIGUEL ANGEL</v>
      </c>
      <c r="G230" s="21"/>
      <c r="H230" s="28">
        <v>20</v>
      </c>
      <c r="I230" s="28">
        <v>1</v>
      </c>
      <c r="J230" s="28">
        <v>2</v>
      </c>
      <c r="K230" s="28">
        <v>2</v>
      </c>
      <c r="L230" s="26" t="s">
        <v>2195</v>
      </c>
      <c r="M230" s="26" t="s">
        <v>2072</v>
      </c>
      <c r="N230" s="26" t="s">
        <v>2073</v>
      </c>
      <c r="O230" s="26" t="s">
        <v>1459</v>
      </c>
      <c r="P230" s="26" t="s">
        <v>1460</v>
      </c>
      <c r="Q230" s="26">
        <v>75058765639</v>
      </c>
      <c r="R230" s="34">
        <v>43098</v>
      </c>
      <c r="S230" s="34">
        <v>32068</v>
      </c>
      <c r="T230" s="35" t="s">
        <v>1461</v>
      </c>
      <c r="U230" s="26"/>
      <c r="V230" s="26" t="s">
        <v>1462</v>
      </c>
      <c r="W230" s="26"/>
      <c r="X230" s="26"/>
      <c r="Y230" s="26"/>
      <c r="Z230" s="26"/>
      <c r="AA230" s="26"/>
      <c r="AB230" s="26"/>
      <c r="AC230" s="34"/>
      <c r="AD230" s="26"/>
      <c r="AE230" s="26"/>
      <c r="AG230" s="22"/>
      <c r="AH230" s="11"/>
    </row>
    <row r="231" spans="1:34" s="10" customFormat="1" x14ac:dyDescent="0.25">
      <c r="A231" s="18"/>
      <c r="B231" s="19">
        <v>0</v>
      </c>
      <c r="C231" s="19">
        <v>0</v>
      </c>
      <c r="D231" s="19">
        <v>0</v>
      </c>
      <c r="E231" s="28">
        <v>588</v>
      </c>
      <c r="F231" s="20" t="str">
        <f t="shared" si="6"/>
        <v>BOJORQUEZ MENDOZA, JULIO CESAR</v>
      </c>
      <c r="G231" s="21"/>
      <c r="H231" s="28">
        <v>20</v>
      </c>
      <c r="I231" s="28">
        <v>1</v>
      </c>
      <c r="J231" s="28">
        <v>2</v>
      </c>
      <c r="K231" s="28">
        <v>2</v>
      </c>
      <c r="L231" s="26" t="s">
        <v>2130</v>
      </c>
      <c r="M231" s="26" t="s">
        <v>2074</v>
      </c>
      <c r="N231" s="26" t="s">
        <v>1709</v>
      </c>
      <c r="O231" s="26" t="s">
        <v>1467</v>
      </c>
      <c r="P231" s="26" t="s">
        <v>1468</v>
      </c>
      <c r="Q231" s="26">
        <v>94048200649</v>
      </c>
      <c r="R231" s="34">
        <v>43102</v>
      </c>
      <c r="S231" s="34">
        <v>29959</v>
      </c>
      <c r="T231" s="35">
        <v>445577999823</v>
      </c>
      <c r="U231" s="26"/>
      <c r="V231" s="26" t="s">
        <v>1469</v>
      </c>
      <c r="W231" s="26"/>
      <c r="X231" s="26"/>
      <c r="Y231" s="26"/>
      <c r="Z231" s="26"/>
      <c r="AA231" s="26"/>
      <c r="AB231" s="26"/>
      <c r="AC231" s="34"/>
      <c r="AD231" s="26"/>
      <c r="AE231" s="26"/>
      <c r="AG231" s="22"/>
      <c r="AH231" s="11"/>
    </row>
    <row r="232" spans="1:34" s="10" customFormat="1" x14ac:dyDescent="0.25">
      <c r="A232" s="18"/>
      <c r="B232" s="19">
        <v>0</v>
      </c>
      <c r="C232" s="19">
        <v>0</v>
      </c>
      <c r="D232" s="19">
        <v>0</v>
      </c>
      <c r="E232" s="28">
        <v>589</v>
      </c>
      <c r="F232" s="20" t="str">
        <f t="shared" si="6"/>
        <v xml:space="preserve">AQUINO CHAVEZ, ALEJANDRO </v>
      </c>
      <c r="G232" s="21"/>
      <c r="H232" s="28">
        <v>20</v>
      </c>
      <c r="I232" s="28">
        <v>1</v>
      </c>
      <c r="J232" s="28">
        <v>2</v>
      </c>
      <c r="K232" s="28">
        <v>2</v>
      </c>
      <c r="L232" s="26" t="s">
        <v>2115</v>
      </c>
      <c r="M232" s="26" t="s">
        <v>2075</v>
      </c>
      <c r="N232" s="26" t="s">
        <v>1754</v>
      </c>
      <c r="O232" s="26" t="s">
        <v>1473</v>
      </c>
      <c r="P232" s="26" t="s">
        <v>1474</v>
      </c>
      <c r="Q232" s="26">
        <v>68907102948</v>
      </c>
      <c r="R232" s="34">
        <v>43108</v>
      </c>
      <c r="S232" s="34">
        <v>26096</v>
      </c>
      <c r="T232" s="35" t="s">
        <v>1475</v>
      </c>
      <c r="U232" s="26"/>
      <c r="V232" s="26" t="s">
        <v>1476</v>
      </c>
      <c r="W232" s="26"/>
      <c r="X232" s="26"/>
      <c r="Y232" s="26"/>
      <c r="Z232" s="26"/>
      <c r="AA232" s="26"/>
      <c r="AB232" s="26"/>
      <c r="AC232" s="34"/>
      <c r="AD232" s="26"/>
      <c r="AE232" s="26"/>
      <c r="AG232" s="22"/>
      <c r="AH232" s="11"/>
    </row>
    <row r="233" spans="1:34" s="10" customFormat="1" x14ac:dyDescent="0.25">
      <c r="A233" s="18"/>
      <c r="B233" s="19">
        <v>0</v>
      </c>
      <c r="C233" s="19">
        <v>0</v>
      </c>
      <c r="D233" s="19">
        <v>0</v>
      </c>
      <c r="E233" s="28">
        <v>590</v>
      </c>
      <c r="F233" s="20" t="str">
        <f t="shared" si="6"/>
        <v>BAZAN ROSALES, CESAR ALEJANDRO</v>
      </c>
      <c r="G233" s="21"/>
      <c r="H233" s="28">
        <v>20</v>
      </c>
      <c r="I233" s="28">
        <v>2</v>
      </c>
      <c r="J233" s="28">
        <v>2</v>
      </c>
      <c r="K233" s="28">
        <v>2</v>
      </c>
      <c r="L233" s="26" t="s">
        <v>2292</v>
      </c>
      <c r="M233" s="26" t="s">
        <v>2076</v>
      </c>
      <c r="N233" s="26" t="s">
        <v>2077</v>
      </c>
      <c r="O233" s="26" t="s">
        <v>1481</v>
      </c>
      <c r="P233" s="26" t="s">
        <v>1482</v>
      </c>
      <c r="Q233" s="26">
        <v>72927354844</v>
      </c>
      <c r="R233" s="34">
        <v>43108</v>
      </c>
      <c r="S233" s="34">
        <v>27563</v>
      </c>
      <c r="T233" s="35" t="s">
        <v>1483</v>
      </c>
      <c r="U233" s="26"/>
      <c r="V233" s="26" t="s">
        <v>1484</v>
      </c>
      <c r="W233" s="26"/>
      <c r="X233" s="26"/>
      <c r="Y233" s="26"/>
      <c r="Z233" s="26"/>
      <c r="AA233" s="26"/>
      <c r="AB233" s="26"/>
      <c r="AC233" s="34"/>
      <c r="AD233" s="26"/>
      <c r="AE233" s="26"/>
      <c r="AG233" s="22"/>
      <c r="AH233" s="11"/>
    </row>
    <row r="234" spans="1:34" s="10" customFormat="1" x14ac:dyDescent="0.25">
      <c r="A234" s="18"/>
      <c r="B234" s="19">
        <v>0</v>
      </c>
      <c r="C234" s="19">
        <v>0</v>
      </c>
      <c r="D234" s="19">
        <v>0</v>
      </c>
      <c r="E234" s="28">
        <v>591</v>
      </c>
      <c r="F234" s="20" t="str">
        <f t="shared" si="6"/>
        <v xml:space="preserve">LINALDI DIAZ, REMIGIO </v>
      </c>
      <c r="G234" s="21"/>
      <c r="H234" s="28">
        <v>20</v>
      </c>
      <c r="I234" s="28">
        <v>2</v>
      </c>
      <c r="J234" s="28">
        <v>2</v>
      </c>
      <c r="K234" s="28">
        <v>2</v>
      </c>
      <c r="L234" s="26" t="s">
        <v>2293</v>
      </c>
      <c r="M234" s="26" t="s">
        <v>1701</v>
      </c>
      <c r="N234" s="26" t="s">
        <v>1739</v>
      </c>
      <c r="O234" s="26" t="s">
        <v>1489</v>
      </c>
      <c r="P234" s="26" t="s">
        <v>1490</v>
      </c>
      <c r="Q234" s="26">
        <v>67987404208</v>
      </c>
      <c r="R234" s="34">
        <v>43110</v>
      </c>
      <c r="S234" s="34">
        <v>27033</v>
      </c>
      <c r="T234" s="35" t="s">
        <v>1491</v>
      </c>
      <c r="U234" s="26"/>
      <c r="V234" s="26" t="s">
        <v>1492</v>
      </c>
      <c r="W234" s="26"/>
      <c r="X234" s="26"/>
      <c r="Y234" s="26"/>
      <c r="Z234" s="26"/>
      <c r="AA234" s="26"/>
      <c r="AB234" s="26"/>
      <c r="AC234" s="34"/>
      <c r="AD234" s="26"/>
      <c r="AE234" s="26"/>
      <c r="AG234" s="22"/>
      <c r="AH234" s="11"/>
    </row>
    <row r="235" spans="1:34" s="10" customFormat="1" x14ac:dyDescent="0.25">
      <c r="A235" s="18"/>
      <c r="B235" s="19">
        <v>0</v>
      </c>
      <c r="C235" s="19">
        <v>0</v>
      </c>
      <c r="D235" s="19">
        <v>0</v>
      </c>
      <c r="E235" s="28">
        <v>592</v>
      </c>
      <c r="F235" s="20" t="str">
        <f t="shared" si="6"/>
        <v xml:space="preserve">IBARRA VENTURA, BONIFACIO </v>
      </c>
      <c r="G235" s="21"/>
      <c r="H235" s="28">
        <v>20</v>
      </c>
      <c r="I235" s="28">
        <v>2</v>
      </c>
      <c r="J235" s="28">
        <v>3</v>
      </c>
      <c r="K235" s="28">
        <v>2</v>
      </c>
      <c r="L235" s="26" t="s">
        <v>2294</v>
      </c>
      <c r="M235" s="26" t="s">
        <v>2079</v>
      </c>
      <c r="N235" s="26" t="s">
        <v>2080</v>
      </c>
      <c r="O235" s="26" t="s">
        <v>1496</v>
      </c>
      <c r="P235" s="26" t="s">
        <v>1497</v>
      </c>
      <c r="Q235" s="26">
        <v>51897411099</v>
      </c>
      <c r="R235" s="34">
        <v>43112</v>
      </c>
      <c r="S235" s="34">
        <v>27157</v>
      </c>
      <c r="T235" s="35" t="s">
        <v>1498</v>
      </c>
      <c r="U235" s="26"/>
      <c r="V235" s="26" t="s">
        <v>1499</v>
      </c>
      <c r="W235" s="26"/>
      <c r="X235" s="26"/>
      <c r="Y235" s="26"/>
      <c r="Z235" s="26"/>
      <c r="AA235" s="26"/>
      <c r="AB235" s="26"/>
      <c r="AC235" s="34"/>
      <c r="AD235" s="26"/>
      <c r="AE235" s="26"/>
      <c r="AG235" s="22"/>
      <c r="AH235" s="11"/>
    </row>
    <row r="236" spans="1:34" s="10" customFormat="1" x14ac:dyDescent="0.25">
      <c r="A236" s="18"/>
      <c r="B236" s="19">
        <v>0</v>
      </c>
      <c r="C236" s="19">
        <v>0</v>
      </c>
      <c r="D236" s="19">
        <v>0</v>
      </c>
      <c r="E236" s="28">
        <v>593</v>
      </c>
      <c r="F236" s="20" t="str">
        <f t="shared" si="6"/>
        <v>ROSAS SANCHEZ, MIGUEL ANGEL</v>
      </c>
      <c r="G236" s="21"/>
      <c r="H236" s="28">
        <v>20</v>
      </c>
      <c r="I236" s="28">
        <v>2</v>
      </c>
      <c r="J236" s="28">
        <v>2</v>
      </c>
      <c r="K236" s="28">
        <v>2</v>
      </c>
      <c r="L236" s="26" t="s">
        <v>2195</v>
      </c>
      <c r="M236" s="26" t="s">
        <v>1859</v>
      </c>
      <c r="N236" s="26" t="s">
        <v>1862</v>
      </c>
      <c r="O236" s="26" t="s">
        <v>1503</v>
      </c>
      <c r="P236" s="26" t="s">
        <v>1504</v>
      </c>
      <c r="Q236" s="26">
        <v>67127803244</v>
      </c>
      <c r="R236" s="34">
        <v>43122</v>
      </c>
      <c r="S236" s="34">
        <v>28647</v>
      </c>
      <c r="T236" s="35" t="s">
        <v>1505</v>
      </c>
      <c r="U236" s="26"/>
      <c r="V236" s="26" t="s">
        <v>1506</v>
      </c>
      <c r="W236" s="26"/>
      <c r="X236" s="26"/>
      <c r="Y236" s="26"/>
      <c r="Z236" s="26"/>
      <c r="AA236" s="26"/>
      <c r="AB236" s="26"/>
      <c r="AC236" s="34"/>
      <c r="AD236" s="26"/>
      <c r="AE236" s="26"/>
      <c r="AG236" s="22"/>
      <c r="AH236" s="11"/>
    </row>
    <row r="237" spans="1:34" s="10" customFormat="1" x14ac:dyDescent="0.25">
      <c r="A237" s="18"/>
      <c r="B237" s="19">
        <v>0</v>
      </c>
      <c r="C237" s="19">
        <v>0</v>
      </c>
      <c r="D237" s="19">
        <v>0</v>
      </c>
      <c r="E237" s="28">
        <v>594</v>
      </c>
      <c r="F237" s="20" t="str">
        <f t="shared" si="6"/>
        <v xml:space="preserve">PADILLA CRUZ, BERNARDO </v>
      </c>
      <c r="G237" s="21"/>
      <c r="H237" s="28">
        <v>20</v>
      </c>
      <c r="I237" s="28">
        <v>1</v>
      </c>
      <c r="J237" s="28">
        <v>2</v>
      </c>
      <c r="K237" s="28">
        <v>2</v>
      </c>
      <c r="L237" s="26" t="s">
        <v>2295</v>
      </c>
      <c r="M237" s="26" t="s">
        <v>2082</v>
      </c>
      <c r="N237" s="26" t="s">
        <v>1699</v>
      </c>
      <c r="O237" s="26" t="s">
        <v>1510</v>
      </c>
      <c r="P237" s="26" t="s">
        <v>1511</v>
      </c>
      <c r="Q237" s="26">
        <v>67008027392</v>
      </c>
      <c r="R237" s="34">
        <v>43124</v>
      </c>
      <c r="S237" s="34">
        <v>29484</v>
      </c>
      <c r="T237" s="35" t="s">
        <v>1512</v>
      </c>
      <c r="U237" s="26"/>
      <c r="V237" s="26" t="s">
        <v>1513</v>
      </c>
      <c r="W237" s="26"/>
      <c r="X237" s="26"/>
      <c r="Y237" s="26"/>
      <c r="Z237" s="26"/>
      <c r="AA237" s="26"/>
      <c r="AB237" s="26"/>
      <c r="AC237" s="34"/>
      <c r="AD237" s="26"/>
      <c r="AE237" s="26"/>
      <c r="AG237" s="22"/>
      <c r="AH237" s="11"/>
    </row>
    <row r="238" spans="1:34" s="10" customFormat="1" x14ac:dyDescent="0.25">
      <c r="A238" s="18"/>
      <c r="B238" s="19">
        <v>0</v>
      </c>
      <c r="C238" s="19">
        <v>0</v>
      </c>
      <c r="D238" s="19">
        <v>0</v>
      </c>
      <c r="E238" s="28">
        <v>595</v>
      </c>
      <c r="F238" s="20" t="str">
        <f t="shared" si="6"/>
        <v xml:space="preserve">BAUTISTA CAMACHO, ALEJANDRO </v>
      </c>
      <c r="G238" s="21"/>
      <c r="H238" s="28">
        <v>20</v>
      </c>
      <c r="I238" s="28">
        <v>2</v>
      </c>
      <c r="J238" s="28">
        <v>2</v>
      </c>
      <c r="K238" s="28">
        <v>2</v>
      </c>
      <c r="L238" s="26" t="s">
        <v>2115</v>
      </c>
      <c r="M238" s="26" t="s">
        <v>1787</v>
      </c>
      <c r="N238" s="26" t="s">
        <v>2083</v>
      </c>
      <c r="O238" s="26" t="s">
        <v>1518</v>
      </c>
      <c r="P238" s="26" t="s">
        <v>1519</v>
      </c>
      <c r="Q238" s="26">
        <v>92007507566</v>
      </c>
      <c r="R238" s="34">
        <v>43126</v>
      </c>
      <c r="S238" s="34">
        <v>27461</v>
      </c>
      <c r="T238" s="35" t="s">
        <v>1520</v>
      </c>
      <c r="U238" s="26"/>
      <c r="V238" s="26" t="s">
        <v>1521</v>
      </c>
      <c r="W238" s="26"/>
      <c r="X238" s="26"/>
      <c r="Y238" s="26"/>
      <c r="Z238" s="26"/>
      <c r="AA238" s="26"/>
      <c r="AB238" s="26"/>
      <c r="AC238" s="34"/>
      <c r="AD238" s="26"/>
      <c r="AE238" s="26"/>
      <c r="AG238" s="22"/>
      <c r="AH238" s="11"/>
    </row>
    <row r="239" spans="1:34" s="10" customFormat="1" x14ac:dyDescent="0.25">
      <c r="A239" s="18"/>
      <c r="B239" s="19">
        <v>0</v>
      </c>
      <c r="C239" s="19">
        <v>0</v>
      </c>
      <c r="D239" s="19">
        <v>0</v>
      </c>
      <c r="E239" s="28">
        <v>596</v>
      </c>
      <c r="F239" s="20" t="str">
        <f t="shared" si="6"/>
        <v>HERNANDEZ CRUZ, FRANCISCO JAVIER</v>
      </c>
      <c r="G239" s="21"/>
      <c r="H239" s="28">
        <v>20</v>
      </c>
      <c r="I239" s="28">
        <v>1</v>
      </c>
      <c r="J239" s="28">
        <v>3</v>
      </c>
      <c r="K239" s="28">
        <v>2</v>
      </c>
      <c r="L239" s="26" t="s">
        <v>2161</v>
      </c>
      <c r="M239" s="26" t="s">
        <v>1713</v>
      </c>
      <c r="N239" s="26" t="s">
        <v>1699</v>
      </c>
      <c r="O239" s="26" t="s">
        <v>1525</v>
      </c>
      <c r="P239" s="26" t="s">
        <v>1526</v>
      </c>
      <c r="Q239" s="26">
        <v>13078936146</v>
      </c>
      <c r="R239" s="34">
        <v>43140</v>
      </c>
      <c r="S239" s="34">
        <v>32579</v>
      </c>
      <c r="T239" s="35" t="s">
        <v>1527</v>
      </c>
      <c r="U239" s="26"/>
      <c r="V239" s="26" t="s">
        <v>1528</v>
      </c>
      <c r="W239" s="26"/>
      <c r="X239" s="26"/>
      <c r="Y239" s="26"/>
      <c r="Z239" s="26"/>
      <c r="AA239" s="26"/>
      <c r="AB239" s="26"/>
      <c r="AC239" s="34"/>
      <c r="AD239" s="26"/>
      <c r="AE239" s="26"/>
      <c r="AG239" s="22"/>
      <c r="AH239" s="11"/>
    </row>
    <row r="240" spans="1:34" s="10" customFormat="1" x14ac:dyDescent="0.25">
      <c r="A240" s="18"/>
      <c r="B240" s="19">
        <v>0</v>
      </c>
      <c r="C240" s="19">
        <v>0</v>
      </c>
      <c r="D240" s="19">
        <v>0</v>
      </c>
      <c r="E240" s="28">
        <v>597</v>
      </c>
      <c r="F240" s="20" t="str">
        <f t="shared" si="6"/>
        <v xml:space="preserve">ESLAVA TOLENTINO, SERGIO </v>
      </c>
      <c r="G240" s="21"/>
      <c r="H240" s="28">
        <v>20</v>
      </c>
      <c r="I240" s="28">
        <v>1</v>
      </c>
      <c r="J240" s="28">
        <v>1</v>
      </c>
      <c r="K240" s="28">
        <v>2</v>
      </c>
      <c r="L240" s="26" t="s">
        <v>2116</v>
      </c>
      <c r="M240" s="26" t="s">
        <v>2084</v>
      </c>
      <c r="N240" s="26" t="s">
        <v>2085</v>
      </c>
      <c r="O240" s="26" t="s">
        <v>1531</v>
      </c>
      <c r="P240" s="26" t="s">
        <v>1532</v>
      </c>
      <c r="Q240" s="26">
        <v>94917412390</v>
      </c>
      <c r="R240" s="34">
        <v>43140</v>
      </c>
      <c r="S240" s="34">
        <v>27090</v>
      </c>
      <c r="T240" s="35" t="s">
        <v>1533</v>
      </c>
      <c r="U240" s="26"/>
      <c r="V240" s="26" t="s">
        <v>1534</v>
      </c>
      <c r="W240" s="26"/>
      <c r="X240" s="26"/>
      <c r="Y240" s="26"/>
      <c r="Z240" s="26"/>
      <c r="AA240" s="26"/>
      <c r="AB240" s="26"/>
      <c r="AC240" s="34"/>
      <c r="AD240" s="26"/>
      <c r="AE240" s="26"/>
      <c r="AG240" s="22"/>
      <c r="AH240" s="11"/>
    </row>
    <row r="241" spans="1:34" s="10" customFormat="1" x14ac:dyDescent="0.25">
      <c r="A241" s="18"/>
      <c r="B241" s="19">
        <v>0</v>
      </c>
      <c r="C241" s="19">
        <v>0</v>
      </c>
      <c r="D241" s="19">
        <v>0</v>
      </c>
      <c r="E241" s="28">
        <v>598</v>
      </c>
      <c r="F241" s="20" t="str">
        <f t="shared" si="6"/>
        <v xml:space="preserve">ROBLES MANRIQUE, IVAN </v>
      </c>
      <c r="G241" s="21"/>
      <c r="H241" s="28">
        <v>20</v>
      </c>
      <c r="I241" s="28">
        <v>1</v>
      </c>
      <c r="J241" s="28">
        <v>2</v>
      </c>
      <c r="K241" s="28">
        <v>2</v>
      </c>
      <c r="L241" s="26" t="s">
        <v>2296</v>
      </c>
      <c r="M241" s="26" t="s">
        <v>1757</v>
      </c>
      <c r="N241" s="26" t="s">
        <v>2086</v>
      </c>
      <c r="O241" s="26" t="s">
        <v>1538</v>
      </c>
      <c r="P241" s="26" t="s">
        <v>1539</v>
      </c>
      <c r="Q241" s="26">
        <v>72968161520</v>
      </c>
      <c r="R241" s="34">
        <v>43206</v>
      </c>
      <c r="S241" s="34">
        <v>29777</v>
      </c>
      <c r="T241" s="35" t="s">
        <v>1540</v>
      </c>
      <c r="U241" s="26"/>
      <c r="V241" s="26" t="s">
        <v>1541</v>
      </c>
      <c r="W241" s="26"/>
      <c r="X241" s="26"/>
      <c r="Y241" s="26"/>
      <c r="Z241" s="26"/>
      <c r="AA241" s="26"/>
      <c r="AB241" s="26"/>
      <c r="AC241" s="34"/>
      <c r="AD241" s="26"/>
      <c r="AE241" s="26"/>
      <c r="AG241" s="22"/>
      <c r="AH241" s="11"/>
    </row>
    <row r="242" spans="1:34" s="10" customFormat="1" x14ac:dyDescent="0.25">
      <c r="A242" s="18"/>
      <c r="B242" s="19">
        <v>0</v>
      </c>
      <c r="C242" s="19">
        <v>0</v>
      </c>
      <c r="D242" s="19">
        <v>0</v>
      </c>
      <c r="E242" s="28">
        <v>599</v>
      </c>
      <c r="F242" s="20" t="str">
        <f t="shared" si="6"/>
        <v>LEON PEREZ, LUIS MARGARITO</v>
      </c>
      <c r="G242" s="21"/>
      <c r="H242" s="28">
        <v>20</v>
      </c>
      <c r="I242" s="28">
        <v>2</v>
      </c>
      <c r="J242" s="28">
        <v>2</v>
      </c>
      <c r="K242" s="28">
        <v>2</v>
      </c>
      <c r="L242" s="26" t="s">
        <v>2297</v>
      </c>
      <c r="M242" s="26" t="s">
        <v>2087</v>
      </c>
      <c r="N242" s="26" t="s">
        <v>1838</v>
      </c>
      <c r="O242" s="26" t="s">
        <v>1546</v>
      </c>
      <c r="P242" s="26" t="s">
        <v>1547</v>
      </c>
      <c r="Q242" s="26">
        <v>75866909817</v>
      </c>
      <c r="R242" s="34">
        <v>43208</v>
      </c>
      <c r="S242" s="34">
        <v>25394</v>
      </c>
      <c r="T242" s="35" t="s">
        <v>1548</v>
      </c>
      <c r="U242" s="26"/>
      <c r="V242" s="26" t="s">
        <v>1549</v>
      </c>
      <c r="W242" s="26"/>
      <c r="X242" s="26"/>
      <c r="Y242" s="26"/>
      <c r="Z242" s="26"/>
      <c r="AA242" s="26"/>
      <c r="AB242" s="26"/>
      <c r="AC242" s="34"/>
      <c r="AD242" s="26"/>
      <c r="AE242" s="26"/>
      <c r="AG242" s="22"/>
      <c r="AH242" s="11"/>
    </row>
    <row r="243" spans="1:34" s="10" customFormat="1" x14ac:dyDescent="0.25">
      <c r="A243" s="18"/>
      <c r="B243" s="19">
        <v>0</v>
      </c>
      <c r="C243" s="19">
        <v>0</v>
      </c>
      <c r="D243" s="19">
        <v>0</v>
      </c>
      <c r="E243" s="28">
        <v>600</v>
      </c>
      <c r="F243" s="20" t="str">
        <f t="shared" si="6"/>
        <v>AMADOR AVELAR, JOSE MARIO</v>
      </c>
      <c r="G243" s="21"/>
      <c r="H243" s="28">
        <v>20</v>
      </c>
      <c r="I243" s="28">
        <v>1</v>
      </c>
      <c r="J243" s="28">
        <v>2</v>
      </c>
      <c r="K243" s="28">
        <v>2</v>
      </c>
      <c r="L243" s="26" t="s">
        <v>2298</v>
      </c>
      <c r="M243" s="26" t="s">
        <v>2088</v>
      </c>
      <c r="N243" s="26" t="s">
        <v>2089</v>
      </c>
      <c r="O243" s="26" t="s">
        <v>1554</v>
      </c>
      <c r="P243" s="26" t="s">
        <v>1555</v>
      </c>
      <c r="Q243" s="26">
        <v>42906716685</v>
      </c>
      <c r="R243" s="34">
        <v>43210</v>
      </c>
      <c r="S243" s="34">
        <v>24515</v>
      </c>
      <c r="T243" s="35">
        <v>445573324173</v>
      </c>
      <c r="U243" s="26"/>
      <c r="V243" s="26" t="s">
        <v>1556</v>
      </c>
      <c r="W243" s="26"/>
      <c r="X243" s="26"/>
      <c r="Y243" s="26"/>
      <c r="Z243" s="26"/>
      <c r="AA243" s="26"/>
      <c r="AB243" s="26"/>
      <c r="AC243" s="34"/>
      <c r="AD243" s="26"/>
      <c r="AE243" s="26"/>
      <c r="AG243" s="22"/>
      <c r="AH243" s="11"/>
    </row>
    <row r="244" spans="1:34" s="10" customFormat="1" x14ac:dyDescent="0.25">
      <c r="A244" s="18"/>
      <c r="B244" s="19">
        <v>0</v>
      </c>
      <c r="C244" s="19">
        <v>0</v>
      </c>
      <c r="D244" s="19">
        <v>0</v>
      </c>
      <c r="E244" s="28">
        <v>601</v>
      </c>
      <c r="F244" s="20" t="str">
        <f t="shared" si="6"/>
        <v>JIMENEZ TOLEDO, GUILLERMO ANTONIO</v>
      </c>
      <c r="G244" s="21"/>
      <c r="H244" s="28">
        <v>20</v>
      </c>
      <c r="I244" s="28">
        <v>1</v>
      </c>
      <c r="J244" s="28">
        <v>2</v>
      </c>
      <c r="K244" s="28">
        <v>2</v>
      </c>
      <c r="L244" s="26" t="s">
        <v>2299</v>
      </c>
      <c r="M244" s="26" t="s">
        <v>1795</v>
      </c>
      <c r="N244" s="26" t="s">
        <v>1813</v>
      </c>
      <c r="O244" s="26" t="s">
        <v>1560</v>
      </c>
      <c r="P244" s="26" t="s">
        <v>1561</v>
      </c>
      <c r="Q244" s="26">
        <v>78846708135</v>
      </c>
      <c r="R244" s="34">
        <v>43210</v>
      </c>
      <c r="S244" s="34">
        <v>24695</v>
      </c>
      <c r="T244" s="35" t="s">
        <v>1562</v>
      </c>
      <c r="U244" s="26"/>
      <c r="V244" s="26" t="s">
        <v>1563</v>
      </c>
      <c r="W244" s="26"/>
      <c r="X244" s="26"/>
      <c r="Y244" s="26"/>
      <c r="Z244" s="26"/>
      <c r="AA244" s="26"/>
      <c r="AB244" s="26"/>
      <c r="AC244" s="34"/>
      <c r="AD244" s="26"/>
      <c r="AE244" s="26"/>
      <c r="AG244" s="22"/>
      <c r="AH244" s="11"/>
    </row>
    <row r="245" spans="1:34" s="10" customFormat="1" x14ac:dyDescent="0.25">
      <c r="A245" s="18"/>
      <c r="B245" s="19">
        <v>0</v>
      </c>
      <c r="C245" s="19">
        <v>0</v>
      </c>
      <c r="D245" s="19">
        <v>0</v>
      </c>
      <c r="E245" s="28">
        <v>602</v>
      </c>
      <c r="F245" s="20" t="str">
        <f t="shared" si="6"/>
        <v>FIESCO PEREZ, VICTOR MODESTO</v>
      </c>
      <c r="G245" s="21"/>
      <c r="H245" s="28">
        <v>20</v>
      </c>
      <c r="I245" s="28">
        <v>2</v>
      </c>
      <c r="J245" s="28">
        <v>2</v>
      </c>
      <c r="K245" s="28">
        <v>2</v>
      </c>
      <c r="L245" s="26" t="s">
        <v>2300</v>
      </c>
      <c r="M245" s="26" t="s">
        <v>2091</v>
      </c>
      <c r="N245" s="26" t="s">
        <v>1838</v>
      </c>
      <c r="O245" s="26" t="s">
        <v>1568</v>
      </c>
      <c r="P245" s="26" t="s">
        <v>1569</v>
      </c>
      <c r="Q245" s="26">
        <v>92926930154</v>
      </c>
      <c r="R245" s="34">
        <v>43213</v>
      </c>
      <c r="S245" s="34">
        <v>25369</v>
      </c>
      <c r="T245" s="35" t="s">
        <v>1570</v>
      </c>
      <c r="U245" s="26"/>
      <c r="V245" s="26" t="s">
        <v>1571</v>
      </c>
      <c r="W245" s="26"/>
      <c r="X245" s="26"/>
      <c r="Y245" s="26"/>
      <c r="Z245" s="26"/>
      <c r="AA245" s="26"/>
      <c r="AB245" s="26"/>
      <c r="AC245" s="34"/>
      <c r="AD245" s="26"/>
      <c r="AE245" s="26"/>
      <c r="AG245" s="22"/>
      <c r="AH245" s="11"/>
    </row>
    <row r="246" spans="1:34" s="10" customFormat="1" x14ac:dyDescent="0.25">
      <c r="A246" s="18"/>
      <c r="B246" s="19">
        <v>0</v>
      </c>
      <c r="C246" s="19">
        <v>0</v>
      </c>
      <c r="D246" s="19">
        <v>0</v>
      </c>
      <c r="E246" s="28">
        <v>603</v>
      </c>
      <c r="F246" s="20" t="str">
        <f t="shared" si="6"/>
        <v xml:space="preserve">ISLAS VELAZQUEZ, GUILLERMO </v>
      </c>
      <c r="G246" s="21"/>
      <c r="H246" s="28">
        <v>20</v>
      </c>
      <c r="I246" s="28">
        <v>1</v>
      </c>
      <c r="J246" s="28">
        <v>2</v>
      </c>
      <c r="K246" s="28">
        <v>2</v>
      </c>
      <c r="L246" s="26" t="s">
        <v>2274</v>
      </c>
      <c r="M246" s="26" t="s">
        <v>2093</v>
      </c>
      <c r="N246" s="26" t="s">
        <v>1870</v>
      </c>
      <c r="O246" s="26" t="s">
        <v>1576</v>
      </c>
      <c r="P246" s="26" t="s">
        <v>1577</v>
      </c>
      <c r="Q246" s="26">
        <v>10866748378</v>
      </c>
      <c r="R246" s="34">
        <v>43367</v>
      </c>
      <c r="S246" s="34">
        <v>24513</v>
      </c>
      <c r="T246" s="35">
        <v>5532343165</v>
      </c>
      <c r="U246" s="26"/>
      <c r="V246" s="26" t="s">
        <v>1578</v>
      </c>
      <c r="W246" s="26"/>
      <c r="X246" s="26"/>
      <c r="Y246" s="26"/>
      <c r="Z246" s="26"/>
      <c r="AA246" s="26"/>
      <c r="AB246" s="26"/>
      <c r="AC246" s="34"/>
      <c r="AD246" s="26"/>
      <c r="AE246" s="26"/>
      <c r="AG246" s="22"/>
      <c r="AH246" s="11"/>
    </row>
    <row r="247" spans="1:34" s="10" customFormat="1" x14ac:dyDescent="0.25">
      <c r="A247" s="18"/>
      <c r="B247" s="19">
        <v>0</v>
      </c>
      <c r="C247" s="19">
        <v>0</v>
      </c>
      <c r="D247" s="19">
        <v>0</v>
      </c>
      <c r="E247" s="28">
        <v>604</v>
      </c>
      <c r="F247" s="20" t="str">
        <f t="shared" si="6"/>
        <v>ARREDONDO ESTRADA, JUAN CARLOS</v>
      </c>
      <c r="G247" s="21"/>
      <c r="H247" s="28">
        <v>20</v>
      </c>
      <c r="I247" s="28">
        <v>1</v>
      </c>
      <c r="J247" s="28">
        <v>2</v>
      </c>
      <c r="K247" s="28">
        <v>2</v>
      </c>
      <c r="L247" s="26" t="s">
        <v>2227</v>
      </c>
      <c r="M247" s="26" t="s">
        <v>2094</v>
      </c>
      <c r="N247" s="26" t="s">
        <v>2095</v>
      </c>
      <c r="O247" s="26" t="s">
        <v>2427</v>
      </c>
      <c r="P247" s="26" t="s">
        <v>1581</v>
      </c>
      <c r="Q247" s="26">
        <v>28957901524</v>
      </c>
      <c r="R247" s="34">
        <v>43371</v>
      </c>
      <c r="S247" s="34">
        <v>43371</v>
      </c>
      <c r="T247" s="35">
        <v>5566096189</v>
      </c>
      <c r="U247" s="26"/>
      <c r="V247" s="26" t="s">
        <v>1582</v>
      </c>
      <c r="W247" s="26"/>
      <c r="X247" s="26"/>
      <c r="Y247" s="26"/>
      <c r="Z247" s="26"/>
      <c r="AA247" s="26"/>
      <c r="AB247" s="26"/>
      <c r="AC247" s="34"/>
      <c r="AD247" s="26"/>
      <c r="AE247" s="26"/>
      <c r="AG247" s="22"/>
      <c r="AH247" s="11"/>
    </row>
    <row r="248" spans="1:34" s="10" customFormat="1" x14ac:dyDescent="0.25">
      <c r="A248" s="18"/>
      <c r="B248" s="19">
        <v>0</v>
      </c>
      <c r="C248" s="19">
        <v>0</v>
      </c>
      <c r="D248" s="19">
        <v>0</v>
      </c>
      <c r="E248" s="28">
        <v>605</v>
      </c>
      <c r="F248" s="20" t="str">
        <f t="shared" si="6"/>
        <v xml:space="preserve">SANCHEZ RAMIREZ, RICARDO </v>
      </c>
      <c r="G248" s="21"/>
      <c r="H248" s="28">
        <v>20</v>
      </c>
      <c r="I248" s="28">
        <v>1</v>
      </c>
      <c r="J248" s="28">
        <v>2</v>
      </c>
      <c r="K248" s="28">
        <v>2</v>
      </c>
      <c r="L248" s="26" t="s">
        <v>2134</v>
      </c>
      <c r="M248" s="26" t="s">
        <v>1862</v>
      </c>
      <c r="N248" s="26" t="s">
        <v>1724</v>
      </c>
      <c r="O248" s="26" t="s">
        <v>2428</v>
      </c>
      <c r="P248" s="26" t="s">
        <v>1586</v>
      </c>
      <c r="Q248" s="26">
        <v>94058707004</v>
      </c>
      <c r="R248" s="34">
        <v>43382</v>
      </c>
      <c r="S248" s="34">
        <v>31811</v>
      </c>
      <c r="T248" s="35">
        <v>58358128</v>
      </c>
      <c r="U248" s="26"/>
      <c r="V248" s="26" t="s">
        <v>1587</v>
      </c>
      <c r="W248" s="26"/>
      <c r="X248" s="26"/>
      <c r="Y248" s="26"/>
      <c r="Z248" s="26"/>
      <c r="AA248" s="26"/>
      <c r="AB248" s="26"/>
      <c r="AC248" s="34"/>
      <c r="AD248" s="26"/>
      <c r="AE248" s="26"/>
      <c r="AG248" s="22"/>
      <c r="AH248" s="11"/>
    </row>
    <row r="249" spans="1:34" s="10" customFormat="1" x14ac:dyDescent="0.25">
      <c r="A249" s="18"/>
      <c r="B249" s="19">
        <v>0</v>
      </c>
      <c r="C249" s="19">
        <v>0</v>
      </c>
      <c r="D249" s="19">
        <v>0</v>
      </c>
      <c r="E249" s="28">
        <v>606</v>
      </c>
      <c r="F249" s="20" t="str">
        <f t="shared" si="6"/>
        <v>SOBERANES SANTA, ROSA PEDRO</v>
      </c>
      <c r="G249" s="21"/>
      <c r="H249" s="28">
        <v>20</v>
      </c>
      <c r="I249" s="28">
        <v>1</v>
      </c>
      <c r="J249" s="28">
        <v>2</v>
      </c>
      <c r="K249" s="28">
        <v>2</v>
      </c>
      <c r="L249" s="26" t="s">
        <v>2301</v>
      </c>
      <c r="M249" s="26" t="s">
        <v>2096</v>
      </c>
      <c r="N249" s="26" t="s">
        <v>2097</v>
      </c>
      <c r="O249" s="26" t="s">
        <v>2429</v>
      </c>
      <c r="P249" s="26" t="s">
        <v>1591</v>
      </c>
      <c r="Q249" s="26">
        <v>94907327053</v>
      </c>
      <c r="R249" s="34">
        <v>43385</v>
      </c>
      <c r="S249" s="34">
        <v>27694</v>
      </c>
      <c r="T249" s="35">
        <v>5563434313</v>
      </c>
      <c r="U249" s="26"/>
      <c r="V249" s="26" t="s">
        <v>1592</v>
      </c>
      <c r="W249" s="26"/>
      <c r="X249" s="26"/>
      <c r="Y249" s="26"/>
      <c r="Z249" s="26"/>
      <c r="AA249" s="26"/>
      <c r="AB249" s="26"/>
      <c r="AC249" s="34"/>
      <c r="AD249" s="26"/>
      <c r="AE249" s="26"/>
      <c r="AG249" s="22"/>
      <c r="AH249" s="11"/>
    </row>
    <row r="250" spans="1:34" s="10" customFormat="1" x14ac:dyDescent="0.25">
      <c r="A250" s="18"/>
      <c r="B250" s="19">
        <v>0</v>
      </c>
      <c r="C250" s="19">
        <v>0</v>
      </c>
      <c r="D250" s="19">
        <v>0</v>
      </c>
      <c r="E250" s="28">
        <v>607</v>
      </c>
      <c r="F250" s="20" t="str">
        <f t="shared" si="6"/>
        <v xml:space="preserve">SANTOS RIOS, AGUSTIN </v>
      </c>
      <c r="G250" s="21"/>
      <c r="H250" s="28">
        <v>20</v>
      </c>
      <c r="I250" s="28">
        <v>1</v>
      </c>
      <c r="J250" s="28">
        <v>2</v>
      </c>
      <c r="K250" s="28">
        <v>2</v>
      </c>
      <c r="L250" s="26" t="s">
        <v>2235</v>
      </c>
      <c r="M250" s="26" t="s">
        <v>1865</v>
      </c>
      <c r="N250" s="26" t="s">
        <v>1846</v>
      </c>
      <c r="O250" s="26" t="s">
        <v>1596</v>
      </c>
      <c r="P250" s="26" t="s">
        <v>1597</v>
      </c>
      <c r="Q250" s="26">
        <v>4028161539</v>
      </c>
      <c r="R250" s="34">
        <v>43392</v>
      </c>
      <c r="S250" s="34">
        <v>29714</v>
      </c>
      <c r="T250" s="35"/>
      <c r="U250" s="26"/>
      <c r="V250" s="26" t="s">
        <v>1598</v>
      </c>
      <c r="W250" s="26"/>
      <c r="X250" s="26"/>
      <c r="Y250" s="26"/>
      <c r="Z250" s="26"/>
      <c r="AA250" s="26"/>
      <c r="AB250" s="26"/>
      <c r="AC250" s="34"/>
      <c r="AD250" s="26"/>
      <c r="AE250" s="26"/>
      <c r="AG250" s="22"/>
      <c r="AH250" s="11"/>
    </row>
    <row r="251" spans="1:34" s="10" customFormat="1" x14ac:dyDescent="0.25">
      <c r="A251" s="18"/>
      <c r="B251" s="19">
        <v>0</v>
      </c>
      <c r="C251" s="19">
        <v>0</v>
      </c>
      <c r="D251" s="19">
        <v>0</v>
      </c>
      <c r="E251" s="28">
        <v>608</v>
      </c>
      <c r="F251" s="20" t="str">
        <f t="shared" si="6"/>
        <v xml:space="preserve">GONZALEZ PEREZ, SATURNINO </v>
      </c>
      <c r="G251" s="21"/>
      <c r="H251" s="28">
        <v>20</v>
      </c>
      <c r="I251" s="28">
        <v>1</v>
      </c>
      <c r="J251" s="28">
        <v>2</v>
      </c>
      <c r="K251" s="28">
        <v>2</v>
      </c>
      <c r="L251" s="26" t="s">
        <v>2302</v>
      </c>
      <c r="M251" s="26" t="s">
        <v>1767</v>
      </c>
      <c r="N251" s="26" t="s">
        <v>1838</v>
      </c>
      <c r="O251" s="26" t="s">
        <v>1602</v>
      </c>
      <c r="P251" s="26" t="s">
        <v>1603</v>
      </c>
      <c r="Q251" s="26">
        <v>19856806906</v>
      </c>
      <c r="R251" s="34">
        <v>43392</v>
      </c>
      <c r="S251" s="34">
        <v>24960</v>
      </c>
      <c r="T251" s="35">
        <v>7712075455</v>
      </c>
      <c r="U251" s="26"/>
      <c r="V251" s="26" t="s">
        <v>1604</v>
      </c>
      <c r="W251" s="26"/>
      <c r="X251" s="26"/>
      <c r="Y251" s="26"/>
      <c r="Z251" s="26"/>
      <c r="AA251" s="26"/>
      <c r="AB251" s="26"/>
      <c r="AC251" s="34"/>
      <c r="AD251" s="26"/>
      <c r="AE251" s="26"/>
      <c r="AG251" s="22"/>
      <c r="AH251" s="11"/>
    </row>
    <row r="252" spans="1:34" s="10" customFormat="1" x14ac:dyDescent="0.25">
      <c r="A252" s="18"/>
      <c r="B252" s="19">
        <v>0</v>
      </c>
      <c r="C252" s="19">
        <v>0</v>
      </c>
      <c r="D252" s="19">
        <v>0</v>
      </c>
      <c r="E252" s="28">
        <v>609</v>
      </c>
      <c r="F252" s="20" t="str">
        <f t="shared" si="6"/>
        <v xml:space="preserve">MARTINEZ RAMIREZ, LORENZO </v>
      </c>
      <c r="G252" s="21"/>
      <c r="H252" s="28">
        <v>19</v>
      </c>
      <c r="I252" s="28">
        <v>1</v>
      </c>
      <c r="J252" s="28">
        <v>2</v>
      </c>
      <c r="K252" s="28">
        <v>2</v>
      </c>
      <c r="L252" s="26" t="s">
        <v>2303</v>
      </c>
      <c r="M252" s="26" t="s">
        <v>1765</v>
      </c>
      <c r="N252" s="26" t="s">
        <v>1724</v>
      </c>
      <c r="O252" s="26" t="s">
        <v>1609</v>
      </c>
      <c r="P252" s="26" t="s">
        <v>1610</v>
      </c>
      <c r="Q252" s="26">
        <v>33978067321</v>
      </c>
      <c r="R252" s="34">
        <v>43396</v>
      </c>
      <c r="S252" s="34">
        <v>30642</v>
      </c>
      <c r="T252" s="35">
        <v>6563871750</v>
      </c>
      <c r="U252" s="26"/>
      <c r="V252" s="26" t="s">
        <v>1611</v>
      </c>
      <c r="W252" s="26"/>
      <c r="X252" s="26"/>
      <c r="Y252" s="26"/>
      <c r="Z252" s="26"/>
      <c r="AA252" s="26"/>
      <c r="AB252" s="26"/>
      <c r="AC252" s="34"/>
      <c r="AD252" s="26"/>
      <c r="AE252" s="26"/>
      <c r="AG252" s="22"/>
      <c r="AH252" s="11"/>
    </row>
    <row r="253" spans="1:34" s="10" customFormat="1" x14ac:dyDescent="0.25">
      <c r="A253" s="18"/>
      <c r="B253" s="19">
        <v>0</v>
      </c>
      <c r="C253" s="19">
        <v>0</v>
      </c>
      <c r="D253" s="19">
        <v>0</v>
      </c>
      <c r="E253" s="28">
        <v>610</v>
      </c>
      <c r="F253" s="20" t="str">
        <f t="shared" si="6"/>
        <v>LAGUNES LANDA, JULIO CESAR</v>
      </c>
      <c r="G253" s="21"/>
      <c r="H253" s="28">
        <v>20</v>
      </c>
      <c r="I253" s="28">
        <v>1</v>
      </c>
      <c r="J253" s="28">
        <v>2</v>
      </c>
      <c r="K253" s="28">
        <v>2</v>
      </c>
      <c r="L253" s="26" t="s">
        <v>2130</v>
      </c>
      <c r="M253" s="26" t="s">
        <v>2100</v>
      </c>
      <c r="N253" s="26" t="s">
        <v>2101</v>
      </c>
      <c r="O253" s="26" t="s">
        <v>2430</v>
      </c>
      <c r="P253" s="26" t="s">
        <v>1615</v>
      </c>
      <c r="Q253" s="26">
        <v>6591802955</v>
      </c>
      <c r="R253" s="34">
        <v>43393</v>
      </c>
      <c r="S253" s="34">
        <v>43407</v>
      </c>
      <c r="T253" s="35">
        <v>2288240310</v>
      </c>
      <c r="U253" s="26"/>
      <c r="V253" s="26" t="s">
        <v>1616</v>
      </c>
      <c r="W253" s="26"/>
      <c r="X253" s="26"/>
      <c r="Y253" s="26"/>
      <c r="Z253" s="26"/>
      <c r="AA253" s="26"/>
      <c r="AB253" s="26"/>
      <c r="AC253" s="34"/>
      <c r="AD253" s="26"/>
      <c r="AE253" s="26"/>
      <c r="AG253" s="22"/>
      <c r="AH253" s="11"/>
    </row>
    <row r="254" spans="1:34" s="10" customFormat="1" x14ac:dyDescent="0.25">
      <c r="A254" s="18"/>
      <c r="B254" s="19">
        <v>0</v>
      </c>
      <c r="C254" s="19">
        <v>0</v>
      </c>
      <c r="D254" s="19">
        <v>0</v>
      </c>
      <c r="E254" s="28">
        <v>611</v>
      </c>
      <c r="F254" s="20" t="str">
        <f t="shared" si="6"/>
        <v>RIVERA REYES, LUIS ALBERTO</v>
      </c>
      <c r="G254" s="21"/>
      <c r="H254" s="28">
        <v>20</v>
      </c>
      <c r="I254" s="28">
        <v>1</v>
      </c>
      <c r="J254" s="28">
        <v>2</v>
      </c>
      <c r="K254" s="28">
        <v>2</v>
      </c>
      <c r="L254" s="26" t="s">
        <v>2259</v>
      </c>
      <c r="M254" s="26" t="s">
        <v>1849</v>
      </c>
      <c r="N254" s="26" t="s">
        <v>1744</v>
      </c>
      <c r="O254" s="26" t="s">
        <v>2431</v>
      </c>
      <c r="P254" s="26" t="s">
        <v>1619</v>
      </c>
      <c r="Q254" s="26">
        <v>94947211705</v>
      </c>
      <c r="R254" s="34">
        <v>43399</v>
      </c>
      <c r="S254" s="34">
        <v>26608</v>
      </c>
      <c r="T254" s="35"/>
      <c r="U254" s="26"/>
      <c r="V254" s="26" t="s">
        <v>1620</v>
      </c>
      <c r="W254" s="26"/>
      <c r="X254" s="26"/>
      <c r="Y254" s="26"/>
      <c r="Z254" s="26"/>
      <c r="AA254" s="26"/>
      <c r="AB254" s="26"/>
      <c r="AC254" s="34"/>
      <c r="AD254" s="26"/>
      <c r="AE254" s="26"/>
      <c r="AG254" s="22"/>
      <c r="AH254" s="11"/>
    </row>
    <row r="255" spans="1:34" s="10" customFormat="1" x14ac:dyDescent="0.25">
      <c r="A255" s="18"/>
      <c r="B255" s="19">
        <v>0</v>
      </c>
      <c r="C255" s="19">
        <v>0</v>
      </c>
      <c r="D255" s="19">
        <v>0</v>
      </c>
      <c r="E255" s="28">
        <v>612</v>
      </c>
      <c r="F255" s="20" t="str">
        <f t="shared" si="6"/>
        <v>ORTEGA RUIZ, JOSE PABLO</v>
      </c>
      <c r="G255" s="21"/>
      <c r="H255" s="28">
        <v>20</v>
      </c>
      <c r="I255" s="28">
        <v>1</v>
      </c>
      <c r="J255" s="28">
        <v>2</v>
      </c>
      <c r="K255" s="28">
        <v>2</v>
      </c>
      <c r="L255" s="26" t="s">
        <v>2304</v>
      </c>
      <c r="M255" s="26" t="s">
        <v>1832</v>
      </c>
      <c r="N255" s="26" t="s">
        <v>1913</v>
      </c>
      <c r="O255" s="26" t="s">
        <v>1625</v>
      </c>
      <c r="P255" s="26" t="s">
        <v>1626</v>
      </c>
      <c r="Q255" s="26">
        <v>10856824197</v>
      </c>
      <c r="R255" s="34">
        <v>43406</v>
      </c>
      <c r="S255" s="34">
        <v>24652</v>
      </c>
      <c r="T255" s="35"/>
      <c r="U255" s="26"/>
      <c r="V255" s="26" t="s">
        <v>1627</v>
      </c>
      <c r="W255" s="26"/>
      <c r="X255" s="26"/>
      <c r="Y255" s="26"/>
      <c r="Z255" s="26"/>
      <c r="AA255" s="26"/>
      <c r="AB255" s="26"/>
      <c r="AC255" s="34"/>
      <c r="AD255" s="26"/>
      <c r="AE255" s="26"/>
      <c r="AG255" s="22"/>
      <c r="AH255" s="11"/>
    </row>
    <row r="256" spans="1:34" s="10" customFormat="1" x14ac:dyDescent="0.25">
      <c r="A256" s="18"/>
      <c r="B256" s="19">
        <v>0</v>
      </c>
      <c r="C256" s="19">
        <v>0</v>
      </c>
      <c r="D256" s="19">
        <v>0</v>
      </c>
      <c r="E256" s="28">
        <v>613</v>
      </c>
      <c r="F256" s="20" t="str">
        <f t="shared" si="6"/>
        <v xml:space="preserve">VICTORIANO MENDEZ, SERVANDO </v>
      </c>
      <c r="G256" s="21"/>
      <c r="H256" s="28">
        <v>20</v>
      </c>
      <c r="I256" s="28">
        <v>1</v>
      </c>
      <c r="J256" s="28">
        <v>2</v>
      </c>
      <c r="K256" s="28">
        <v>2</v>
      </c>
      <c r="L256" s="26" t="s">
        <v>2305</v>
      </c>
      <c r="M256" s="26" t="s">
        <v>2103</v>
      </c>
      <c r="N256" s="26" t="s">
        <v>1839</v>
      </c>
      <c r="O256" s="26" t="s">
        <v>1630</v>
      </c>
      <c r="P256" s="26" t="s">
        <v>1631</v>
      </c>
      <c r="Q256" s="26">
        <v>65957500591</v>
      </c>
      <c r="R256" s="34">
        <v>43424</v>
      </c>
      <c r="S256" s="34">
        <v>27657</v>
      </c>
      <c r="T256" s="35">
        <v>2288340661</v>
      </c>
      <c r="U256" s="26"/>
      <c r="V256" s="26" t="s">
        <v>1632</v>
      </c>
      <c r="W256" s="26"/>
      <c r="X256" s="26"/>
      <c r="Y256" s="26"/>
      <c r="Z256" s="26"/>
      <c r="AA256" s="26"/>
      <c r="AB256" s="26"/>
      <c r="AC256" s="34"/>
      <c r="AD256" s="26"/>
      <c r="AE256" s="26"/>
      <c r="AG256" s="22"/>
      <c r="AH256" s="11"/>
    </row>
    <row r="257" spans="1:34" s="10" customFormat="1" x14ac:dyDescent="0.25">
      <c r="A257" s="18"/>
      <c r="B257" s="19">
        <v>0</v>
      </c>
      <c r="C257" s="19">
        <v>0</v>
      </c>
      <c r="D257" s="19">
        <v>0</v>
      </c>
      <c r="E257" s="28">
        <v>614</v>
      </c>
      <c r="F257" s="20" t="str">
        <f t="shared" si="6"/>
        <v xml:space="preserve">GAYOSSO ROMERO, ALFREDO </v>
      </c>
      <c r="G257" s="21"/>
      <c r="H257" s="28">
        <v>20</v>
      </c>
      <c r="I257" s="28">
        <v>1</v>
      </c>
      <c r="J257" s="28">
        <v>2</v>
      </c>
      <c r="K257" s="28">
        <v>2</v>
      </c>
      <c r="L257" s="26" t="s">
        <v>2253</v>
      </c>
      <c r="M257" s="26" t="s">
        <v>2105</v>
      </c>
      <c r="N257" s="26" t="s">
        <v>2024</v>
      </c>
      <c r="O257" s="26" t="s">
        <v>1635</v>
      </c>
      <c r="P257" s="26" t="s">
        <v>1636</v>
      </c>
      <c r="Q257" s="26">
        <v>96087905335</v>
      </c>
      <c r="R257" s="34">
        <v>43424</v>
      </c>
      <c r="S257" s="34">
        <v>29128</v>
      </c>
      <c r="T257" s="35">
        <v>5586969039</v>
      </c>
      <c r="U257" s="26"/>
      <c r="V257" s="26" t="s">
        <v>1637</v>
      </c>
      <c r="W257" s="26"/>
      <c r="X257" s="26"/>
      <c r="Y257" s="26"/>
      <c r="Z257" s="26"/>
      <c r="AA257" s="26"/>
      <c r="AB257" s="26"/>
      <c r="AC257" s="34"/>
      <c r="AD257" s="26"/>
      <c r="AE257" s="26"/>
      <c r="AG257" s="22"/>
      <c r="AH257" s="11"/>
    </row>
    <row r="258" spans="1:34" s="10" customFormat="1" x14ac:dyDescent="0.25">
      <c r="A258" s="18"/>
      <c r="B258" s="19">
        <v>0</v>
      </c>
      <c r="C258" s="19">
        <v>0</v>
      </c>
      <c r="D258" s="19">
        <v>0</v>
      </c>
      <c r="E258" s="28">
        <v>615</v>
      </c>
      <c r="F258" s="20" t="str">
        <f t="shared" si="6"/>
        <v>GURROLA GOMEZ, JOSE MANUEL</v>
      </c>
      <c r="G258" s="21"/>
      <c r="H258" s="28">
        <v>19</v>
      </c>
      <c r="I258" s="28">
        <v>2</v>
      </c>
      <c r="J258" s="28">
        <v>2</v>
      </c>
      <c r="K258" s="28">
        <v>2</v>
      </c>
      <c r="L258" s="26" t="s">
        <v>2126</v>
      </c>
      <c r="M258" s="26" t="s">
        <v>2106</v>
      </c>
      <c r="N258" s="26" t="s">
        <v>1777</v>
      </c>
      <c r="O258" s="26" t="s">
        <v>1640</v>
      </c>
      <c r="P258" s="26" t="s">
        <v>1641</v>
      </c>
      <c r="Q258" s="26">
        <v>35988193799</v>
      </c>
      <c r="R258" s="34">
        <v>43433</v>
      </c>
      <c r="S258" s="34">
        <v>30581</v>
      </c>
      <c r="T258" s="35">
        <v>6565520965</v>
      </c>
      <c r="U258" s="26"/>
      <c r="V258" s="26" t="s">
        <v>1642</v>
      </c>
      <c r="W258" s="26"/>
      <c r="X258" s="26"/>
      <c r="Y258" s="26"/>
      <c r="Z258" s="26"/>
      <c r="AA258" s="26"/>
      <c r="AB258" s="26"/>
      <c r="AC258" s="34"/>
      <c r="AD258" s="26"/>
      <c r="AE258" s="26"/>
      <c r="AG258" s="22"/>
      <c r="AH258" s="11"/>
    </row>
    <row r="259" spans="1:34" s="10" customFormat="1" x14ac:dyDescent="0.25">
      <c r="A259" s="18"/>
      <c r="B259" s="19">
        <v>0</v>
      </c>
      <c r="C259" s="19">
        <v>0</v>
      </c>
      <c r="D259" s="19">
        <v>0</v>
      </c>
      <c r="E259" s="28">
        <v>616</v>
      </c>
      <c r="F259" s="20" t="str">
        <f t="shared" si="6"/>
        <v>ESCALANTE MENDEZ, LUIS EDUARDO</v>
      </c>
      <c r="G259" s="21"/>
      <c r="H259" s="28">
        <v>20</v>
      </c>
      <c r="I259" s="28">
        <v>1</v>
      </c>
      <c r="J259" s="28">
        <v>2</v>
      </c>
      <c r="K259" s="28">
        <v>2</v>
      </c>
      <c r="L259" s="26" t="s">
        <v>2163</v>
      </c>
      <c r="M259" s="26" t="s">
        <v>1965</v>
      </c>
      <c r="N259" s="26" t="s">
        <v>1839</v>
      </c>
      <c r="O259" s="26" t="s">
        <v>1646</v>
      </c>
      <c r="P259" s="26" t="s">
        <v>1647</v>
      </c>
      <c r="Q259" s="26">
        <v>17159291859</v>
      </c>
      <c r="R259" s="34">
        <v>43451</v>
      </c>
      <c r="S259" s="34">
        <v>33829</v>
      </c>
      <c r="T259" s="35">
        <v>9993308304</v>
      </c>
      <c r="U259" s="26"/>
      <c r="V259" s="26" t="s">
        <v>1648</v>
      </c>
      <c r="W259" s="26"/>
      <c r="X259" s="26"/>
      <c r="Y259" s="26"/>
      <c r="Z259" s="26"/>
      <c r="AA259" s="26"/>
      <c r="AB259" s="26"/>
      <c r="AC259" s="34"/>
      <c r="AD259" s="26"/>
      <c r="AE259" s="26"/>
      <c r="AG259" s="22"/>
      <c r="AH259" s="11"/>
    </row>
    <row r="260" spans="1:34" s="10" customFormat="1" x14ac:dyDescent="0.25">
      <c r="A260" s="18"/>
      <c r="B260" s="19">
        <v>0</v>
      </c>
      <c r="C260" s="19">
        <v>0</v>
      </c>
      <c r="D260" s="19">
        <v>0</v>
      </c>
      <c r="E260" s="28">
        <v>617</v>
      </c>
      <c r="F260" s="20" t="str">
        <f t="shared" ref="F260:F266" si="7">CONCATENATE(M260," ",N260,", ",L260)</f>
        <v xml:space="preserve">FLORES MENDEZ, ADOLFO </v>
      </c>
      <c r="G260" s="21"/>
      <c r="H260" s="28">
        <v>20</v>
      </c>
      <c r="I260" s="28">
        <v>1</v>
      </c>
      <c r="J260" s="28">
        <v>2</v>
      </c>
      <c r="K260" s="28">
        <v>2</v>
      </c>
      <c r="L260" s="26" t="s">
        <v>2279</v>
      </c>
      <c r="M260" s="26" t="s">
        <v>1705</v>
      </c>
      <c r="N260" s="26" t="s">
        <v>1839</v>
      </c>
      <c r="O260" s="26" t="s">
        <v>1653</v>
      </c>
      <c r="P260" s="26" t="s">
        <v>1654</v>
      </c>
      <c r="Q260" s="26">
        <v>1028002283</v>
      </c>
      <c r="R260" s="34">
        <v>43451</v>
      </c>
      <c r="S260" s="34">
        <v>29537</v>
      </c>
      <c r="T260" s="35">
        <v>5542900455</v>
      </c>
      <c r="U260" s="26"/>
      <c r="V260" s="26" t="s">
        <v>1655</v>
      </c>
      <c r="W260" s="26"/>
      <c r="X260" s="26"/>
      <c r="Y260" s="26"/>
      <c r="Z260" s="26"/>
      <c r="AA260" s="26"/>
      <c r="AB260" s="26"/>
      <c r="AC260" s="34"/>
      <c r="AD260" s="26"/>
      <c r="AE260" s="26"/>
      <c r="AG260" s="22"/>
      <c r="AH260" s="11"/>
    </row>
    <row r="261" spans="1:34" s="10" customFormat="1" x14ac:dyDescent="0.25">
      <c r="A261" s="18"/>
      <c r="B261" s="19">
        <v>0</v>
      </c>
      <c r="C261" s="19">
        <v>0</v>
      </c>
      <c r="D261" s="19">
        <v>0</v>
      </c>
      <c r="E261" s="28">
        <v>618</v>
      </c>
      <c r="F261" s="20" t="str">
        <f t="shared" si="7"/>
        <v>MENDOZA HERNANDEZ, CESAR ENRIQUE</v>
      </c>
      <c r="G261" s="21"/>
      <c r="H261" s="28">
        <v>20</v>
      </c>
      <c r="I261" s="28">
        <v>1</v>
      </c>
      <c r="J261" s="28">
        <v>2</v>
      </c>
      <c r="K261" s="28">
        <v>2</v>
      </c>
      <c r="L261" s="26" t="s">
        <v>2306</v>
      </c>
      <c r="M261" s="26" t="s">
        <v>1709</v>
      </c>
      <c r="N261" s="26" t="s">
        <v>1713</v>
      </c>
      <c r="O261" s="26" t="s">
        <v>1659</v>
      </c>
      <c r="P261" s="26" t="s">
        <v>1660</v>
      </c>
      <c r="Q261" s="26">
        <v>37907129433</v>
      </c>
      <c r="R261" s="34">
        <v>43451</v>
      </c>
      <c r="S261" s="34">
        <v>25996</v>
      </c>
      <c r="T261" s="35"/>
      <c r="U261" s="26"/>
      <c r="V261" s="26" t="s">
        <v>1661</v>
      </c>
      <c r="W261" s="26"/>
      <c r="X261" s="26"/>
      <c r="Y261" s="26"/>
      <c r="Z261" s="26"/>
      <c r="AA261" s="26"/>
      <c r="AB261" s="26"/>
      <c r="AC261" s="34"/>
      <c r="AD261" s="26"/>
      <c r="AE261" s="26"/>
      <c r="AG261" s="22"/>
      <c r="AH261" s="11"/>
    </row>
    <row r="262" spans="1:34" s="10" customFormat="1" x14ac:dyDescent="0.25">
      <c r="A262" s="18"/>
      <c r="B262" s="19">
        <v>0</v>
      </c>
      <c r="C262" s="19">
        <v>0</v>
      </c>
      <c r="D262" s="19">
        <v>0</v>
      </c>
      <c r="E262" s="28">
        <v>619</v>
      </c>
      <c r="F262" s="20" t="str">
        <f t="shared" si="7"/>
        <v>GUTIERREZ VILLEGAS, JESUS ABRAHAM</v>
      </c>
      <c r="G262" s="21"/>
      <c r="H262" s="28">
        <v>19</v>
      </c>
      <c r="I262" s="28">
        <v>1</v>
      </c>
      <c r="J262" s="28">
        <v>2</v>
      </c>
      <c r="K262" s="28">
        <v>2</v>
      </c>
      <c r="L262" s="26" t="s">
        <v>2307</v>
      </c>
      <c r="M262" s="26" t="s">
        <v>1783</v>
      </c>
      <c r="N262" s="26" t="s">
        <v>2107</v>
      </c>
      <c r="O262" s="26" t="s">
        <v>1665</v>
      </c>
      <c r="P262" s="26" t="s">
        <v>1666</v>
      </c>
      <c r="Q262" s="26">
        <v>33088511317</v>
      </c>
      <c r="R262" s="34">
        <v>43452</v>
      </c>
      <c r="S262" s="34">
        <v>31205</v>
      </c>
      <c r="T262" s="35">
        <v>6567813472</v>
      </c>
      <c r="U262" s="26"/>
      <c r="V262" s="26" t="s">
        <v>1667</v>
      </c>
      <c r="W262" s="26"/>
      <c r="X262" s="26"/>
      <c r="Y262" s="26"/>
      <c r="Z262" s="26"/>
      <c r="AA262" s="26"/>
      <c r="AB262" s="26"/>
      <c r="AC262" s="34"/>
      <c r="AD262" s="26"/>
      <c r="AE262" s="26"/>
      <c r="AG262" s="22"/>
      <c r="AH262" s="11"/>
    </row>
    <row r="263" spans="1:34" s="10" customFormat="1" x14ac:dyDescent="0.25">
      <c r="A263" s="18"/>
      <c r="B263" s="19">
        <v>0</v>
      </c>
      <c r="C263" s="19">
        <v>0</v>
      </c>
      <c r="D263" s="19">
        <v>0</v>
      </c>
      <c r="E263" s="28">
        <v>620</v>
      </c>
      <c r="F263" s="20" t="str">
        <f t="shared" si="7"/>
        <v xml:space="preserve">PEREZ SANCHEZ, EDGAR </v>
      </c>
      <c r="G263" s="21"/>
      <c r="H263" s="28">
        <v>20</v>
      </c>
      <c r="I263" s="28">
        <v>1</v>
      </c>
      <c r="J263" s="28">
        <v>2</v>
      </c>
      <c r="K263" s="28">
        <v>2</v>
      </c>
      <c r="L263" s="26" t="s">
        <v>2226</v>
      </c>
      <c r="M263" s="26" t="s">
        <v>1838</v>
      </c>
      <c r="N263" s="26" t="s">
        <v>1862</v>
      </c>
      <c r="O263" s="26" t="s">
        <v>1671</v>
      </c>
      <c r="P263" s="26" t="s">
        <v>1672</v>
      </c>
      <c r="Q263" s="26">
        <v>30038530918</v>
      </c>
      <c r="R263" s="34">
        <v>43458</v>
      </c>
      <c r="S263" s="34">
        <v>31108</v>
      </c>
      <c r="T263" s="35"/>
      <c r="U263" s="26"/>
      <c r="V263" s="26" t="s">
        <v>1673</v>
      </c>
      <c r="W263" s="26"/>
      <c r="X263" s="26"/>
      <c r="Y263" s="26"/>
      <c r="Z263" s="26"/>
      <c r="AA263" s="26"/>
      <c r="AB263" s="26"/>
      <c r="AC263" s="34"/>
      <c r="AD263" s="26"/>
      <c r="AE263" s="26"/>
      <c r="AG263" s="22"/>
      <c r="AH263" s="11"/>
    </row>
    <row r="264" spans="1:34" s="10" customFormat="1" x14ac:dyDescent="0.25">
      <c r="A264" s="18"/>
      <c r="B264" s="19">
        <v>0</v>
      </c>
      <c r="C264" s="19">
        <v>0</v>
      </c>
      <c r="D264" s="19">
        <v>0</v>
      </c>
      <c r="E264" s="28">
        <v>621</v>
      </c>
      <c r="F264" s="20" t="str">
        <f t="shared" si="7"/>
        <v xml:space="preserve">ALAMILLA ARIAS, SALOMON </v>
      </c>
      <c r="G264" s="21"/>
      <c r="H264" s="28">
        <v>20</v>
      </c>
      <c r="I264" s="28">
        <v>1</v>
      </c>
      <c r="J264" s="28">
        <v>2</v>
      </c>
      <c r="K264" s="28">
        <v>2</v>
      </c>
      <c r="L264" s="26" t="s">
        <v>2308</v>
      </c>
      <c r="M264" s="26" t="s">
        <v>2108</v>
      </c>
      <c r="N264" s="26" t="s">
        <v>1926</v>
      </c>
      <c r="O264" s="26" t="s">
        <v>1677</v>
      </c>
      <c r="P264" s="26" t="s">
        <v>1678</v>
      </c>
      <c r="Q264" s="26">
        <v>1977403433</v>
      </c>
      <c r="R264" s="34">
        <v>43462</v>
      </c>
      <c r="S264" s="34">
        <v>27259</v>
      </c>
      <c r="T264" s="35">
        <v>5550591677</v>
      </c>
      <c r="U264" s="26"/>
      <c r="V264" s="26" t="s">
        <v>1679</v>
      </c>
      <c r="W264" s="26"/>
      <c r="X264" s="26"/>
      <c r="Y264" s="26"/>
      <c r="Z264" s="26"/>
      <c r="AA264" s="26"/>
      <c r="AB264" s="26"/>
      <c r="AC264" s="34"/>
      <c r="AD264" s="26"/>
      <c r="AE264" s="26"/>
      <c r="AG264" s="22"/>
      <c r="AH264" s="11"/>
    </row>
    <row r="265" spans="1:34" s="10" customFormat="1" x14ac:dyDescent="0.25">
      <c r="A265" s="18"/>
      <c r="B265" s="19">
        <v>0</v>
      </c>
      <c r="C265" s="19">
        <v>0</v>
      </c>
      <c r="D265" s="19">
        <v>0</v>
      </c>
      <c r="E265" s="28">
        <v>622</v>
      </c>
      <c r="F265" s="20" t="str">
        <f t="shared" si="7"/>
        <v xml:space="preserve">GONZALEZ NARANJO, CARLOS </v>
      </c>
      <c r="G265" s="21"/>
      <c r="H265" s="28">
        <v>20</v>
      </c>
      <c r="I265" s="28">
        <v>1</v>
      </c>
      <c r="J265" s="28">
        <v>2</v>
      </c>
      <c r="K265" s="28">
        <v>2</v>
      </c>
      <c r="L265" s="26" t="s">
        <v>2196</v>
      </c>
      <c r="M265" s="26" t="s">
        <v>1767</v>
      </c>
      <c r="N265" s="26" t="s">
        <v>2110</v>
      </c>
      <c r="O265" s="26" t="s">
        <v>1683</v>
      </c>
      <c r="P265" s="26" t="s">
        <v>1684</v>
      </c>
      <c r="Q265" s="26">
        <v>62896906674</v>
      </c>
      <c r="R265" s="34">
        <v>43465</v>
      </c>
      <c r="S265" s="34">
        <v>25876</v>
      </c>
      <c r="T265" s="35">
        <v>7821291239</v>
      </c>
      <c r="U265" s="26"/>
      <c r="V265" s="26" t="s">
        <v>1685</v>
      </c>
      <c r="W265" s="26"/>
      <c r="X265" s="26"/>
      <c r="Y265" s="26"/>
      <c r="Z265" s="26"/>
      <c r="AA265" s="26"/>
      <c r="AB265" s="26"/>
      <c r="AC265" s="34"/>
      <c r="AD265" s="26"/>
      <c r="AE265" s="26"/>
      <c r="AG265" s="22"/>
      <c r="AH265" s="11"/>
    </row>
    <row r="266" spans="1:34" s="10" customFormat="1" x14ac:dyDescent="0.25">
      <c r="A266" s="18"/>
      <c r="B266" s="19">
        <v>0</v>
      </c>
      <c r="C266" s="19">
        <v>0</v>
      </c>
      <c r="D266" s="19">
        <v>0</v>
      </c>
      <c r="E266" s="28">
        <v>623</v>
      </c>
      <c r="F266" s="20" t="str">
        <f t="shared" si="7"/>
        <v>SOTO ZARATE, JUAN FRANCISCO</v>
      </c>
      <c r="G266" s="21"/>
      <c r="H266" s="28">
        <v>7</v>
      </c>
      <c r="I266" s="28">
        <v>1</v>
      </c>
      <c r="J266" s="28">
        <v>2</v>
      </c>
      <c r="K266" s="28">
        <v>2</v>
      </c>
      <c r="L266" s="26" t="s">
        <v>2114</v>
      </c>
      <c r="M266" s="26" t="s">
        <v>1916</v>
      </c>
      <c r="N266" s="26" t="s">
        <v>1917</v>
      </c>
      <c r="O266" s="26" t="s">
        <v>1689</v>
      </c>
      <c r="P266" s="26" t="s">
        <v>1690</v>
      </c>
      <c r="Q266" s="26">
        <v>24887016541</v>
      </c>
      <c r="R266" s="34">
        <v>43456</v>
      </c>
      <c r="S266" s="34">
        <v>26576</v>
      </c>
      <c r="T266" s="35"/>
      <c r="U266" s="26"/>
      <c r="V266" s="26" t="s">
        <v>1691</v>
      </c>
      <c r="W266" s="26"/>
      <c r="X266" s="26"/>
      <c r="Y266" s="26"/>
      <c r="Z266" s="26"/>
      <c r="AA266" s="26"/>
      <c r="AB266" s="26"/>
      <c r="AC266" s="34"/>
      <c r="AD266" s="26"/>
      <c r="AE266" s="26"/>
      <c r="AG266" s="22"/>
      <c r="AH266" s="11"/>
    </row>
  </sheetData>
  <autoFilter ref="A1:AJ266"/>
  <conditionalFormatting sqref="A1:G1 AF1:XFD1 Q1:S1 AC1">
    <cfRule type="beginsWith" dxfId="5" priority="5" operator="beginsWith" text="[K_">
      <formula>LEFT(A1,LEN("[K_"))="[K_"</formula>
    </cfRule>
  </conditionalFormatting>
  <conditionalFormatting sqref="H1:K1">
    <cfRule type="beginsWith" dxfId="4" priority="4" operator="beginsWith" text="[K_">
      <formula>LEFT(H1,LEN("[K_"))="[K_"</formula>
    </cfRule>
  </conditionalFormatting>
  <conditionalFormatting sqref="AD1:AE1">
    <cfRule type="beginsWith" dxfId="3" priority="1" operator="beginsWith" text="[K_">
      <formula>LEFT(AD1,LEN("[K_"))="[K_"</formula>
    </cfRule>
  </conditionalFormatting>
  <conditionalFormatting sqref="L1:P1">
    <cfRule type="beginsWith" dxfId="2" priority="3" operator="beginsWith" text="[K_">
      <formula>LEFT(L1,LEN("[K_"))="[K_"</formula>
    </cfRule>
  </conditionalFormatting>
  <conditionalFormatting sqref="T1:AB1">
    <cfRule type="beginsWith" dxfId="1" priority="2" operator="beginsWith" text="[K_">
      <formula>LEFT(T1,LEN("[K_"))="[K_"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C26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B1" sqref="AB1:AB1048576"/>
    </sheetView>
  </sheetViews>
  <sheetFormatPr baseColWidth="10" defaultRowHeight="15" x14ac:dyDescent="0.25"/>
  <cols>
    <col min="3" max="3" width="39.28515625" style="32" bestFit="1" customWidth="1"/>
    <col min="4" max="4" width="11.42578125" style="32"/>
    <col min="5" max="5" width="18.5703125" bestFit="1" customWidth="1"/>
    <col min="8" max="8" width="16.85546875" customWidth="1"/>
    <col min="9" max="9" width="25" customWidth="1"/>
    <col min="11" max="11" width="32.85546875" customWidth="1"/>
    <col min="12" max="12" width="15.5703125" bestFit="1" customWidth="1"/>
    <col min="13" max="13" width="18" style="32" bestFit="1" customWidth="1"/>
    <col min="14" max="14" width="23.5703125" style="32" bestFit="1" customWidth="1"/>
    <col min="17" max="17" width="25.5703125" bestFit="1" customWidth="1"/>
    <col min="18" max="19" width="16.7109375" style="32" bestFit="1" customWidth="1"/>
    <col min="21" max="21" width="51.42578125" bestFit="1" customWidth="1"/>
    <col min="22" max="22" width="43.28515625" bestFit="1" customWidth="1"/>
    <col min="27" max="27" width="16" bestFit="1" customWidth="1"/>
    <col min="28" max="28" width="16.85546875" bestFit="1" customWidth="1"/>
  </cols>
  <sheetData>
    <row r="1" spans="1:29" x14ac:dyDescent="0.25">
      <c r="A1" s="32" t="s">
        <v>49</v>
      </c>
      <c r="B1" t="s">
        <v>50</v>
      </c>
      <c r="C1" s="32" t="s">
        <v>51</v>
      </c>
      <c r="D1" s="32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s="32" t="s">
        <v>61</v>
      </c>
      <c r="N1" s="32" t="s">
        <v>62</v>
      </c>
      <c r="O1" t="s">
        <v>63</v>
      </c>
      <c r="P1" t="s">
        <v>64</v>
      </c>
      <c r="Q1" t="s">
        <v>65</v>
      </c>
      <c r="R1" s="32" t="s">
        <v>66</v>
      </c>
      <c r="S1" s="32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</row>
    <row r="2" spans="1:29" hidden="1" x14ac:dyDescent="0.25">
      <c r="A2">
        <v>333</v>
      </c>
      <c r="B2" t="s">
        <v>9</v>
      </c>
      <c r="C2" s="32" t="s">
        <v>78</v>
      </c>
      <c r="D2" s="32" t="s">
        <v>79</v>
      </c>
      <c r="E2" t="s">
        <v>80</v>
      </c>
      <c r="F2">
        <v>475</v>
      </c>
      <c r="G2" s="33">
        <v>20515</v>
      </c>
      <c r="H2" s="33">
        <v>41148</v>
      </c>
      <c r="I2" s="23">
        <v>43471</v>
      </c>
      <c r="J2" t="s">
        <v>81</v>
      </c>
      <c r="K2" t="s">
        <v>82</v>
      </c>
      <c r="L2" s="32">
        <v>6755623565</v>
      </c>
      <c r="M2" s="32" t="s">
        <v>2312</v>
      </c>
      <c r="N2" s="32" t="s">
        <v>83</v>
      </c>
      <c r="O2">
        <v>110.59</v>
      </c>
      <c r="P2">
        <v>116.04</v>
      </c>
      <c r="Q2">
        <v>116.04</v>
      </c>
      <c r="R2" s="32">
        <v>20</v>
      </c>
      <c r="T2" s="32" t="s">
        <v>84</v>
      </c>
      <c r="U2" s="24" t="s">
        <v>85</v>
      </c>
      <c r="V2" t="s">
        <v>86</v>
      </c>
      <c r="W2">
        <v>55600</v>
      </c>
      <c r="X2" t="s">
        <v>87</v>
      </c>
      <c r="Y2" t="s">
        <v>88</v>
      </c>
      <c r="Z2" t="s">
        <v>89</v>
      </c>
      <c r="AA2">
        <v>1509449498</v>
      </c>
      <c r="AB2" t="s">
        <v>90</v>
      </c>
      <c r="AC2" s="23">
        <v>43452</v>
      </c>
    </row>
    <row r="3" spans="1:29" hidden="1" x14ac:dyDescent="0.25">
      <c r="A3">
        <v>334</v>
      </c>
      <c r="B3" t="s">
        <v>9</v>
      </c>
      <c r="C3" s="32" t="s">
        <v>91</v>
      </c>
      <c r="D3" s="32" t="s">
        <v>11</v>
      </c>
      <c r="E3" t="s">
        <v>92</v>
      </c>
      <c r="F3">
        <v>127</v>
      </c>
      <c r="G3" s="33">
        <v>21629</v>
      </c>
      <c r="H3" s="33">
        <v>40963</v>
      </c>
      <c r="I3" s="23">
        <v>41467</v>
      </c>
      <c r="J3" t="s">
        <v>81</v>
      </c>
      <c r="K3" t="s">
        <v>82</v>
      </c>
      <c r="L3" s="32">
        <v>67805917761</v>
      </c>
      <c r="M3" s="32" t="s">
        <v>2313</v>
      </c>
      <c r="N3" s="32" t="s">
        <v>93</v>
      </c>
      <c r="O3">
        <v>110.59</v>
      </c>
      <c r="P3">
        <v>116.04</v>
      </c>
      <c r="Q3">
        <v>116.04</v>
      </c>
      <c r="R3" s="32">
        <v>20</v>
      </c>
      <c r="S3" s="32" t="s">
        <v>94</v>
      </c>
      <c r="T3" s="32" t="s">
        <v>95</v>
      </c>
      <c r="U3" s="24" t="s">
        <v>96</v>
      </c>
      <c r="V3" t="s">
        <v>97</v>
      </c>
      <c r="W3">
        <v>91809</v>
      </c>
      <c r="X3" t="s">
        <v>98</v>
      </c>
      <c r="Y3" t="s">
        <v>98</v>
      </c>
      <c r="Z3" t="s">
        <v>89</v>
      </c>
      <c r="AA3">
        <v>3002049758</v>
      </c>
      <c r="AB3" t="s">
        <v>99</v>
      </c>
      <c r="AC3" s="23">
        <v>43471</v>
      </c>
    </row>
    <row r="4" spans="1:29" hidden="1" x14ac:dyDescent="0.25">
      <c r="A4">
        <v>335</v>
      </c>
      <c r="B4" t="s">
        <v>9</v>
      </c>
      <c r="C4" s="32" t="s">
        <v>100</v>
      </c>
      <c r="D4" s="32" t="s">
        <v>11</v>
      </c>
      <c r="E4" t="s">
        <v>92</v>
      </c>
      <c r="F4">
        <v>210</v>
      </c>
      <c r="G4" s="33">
        <v>28983</v>
      </c>
      <c r="H4" s="33">
        <v>38637</v>
      </c>
      <c r="I4" s="23">
        <v>41817</v>
      </c>
      <c r="J4" t="s">
        <v>81</v>
      </c>
      <c r="K4" t="s">
        <v>82</v>
      </c>
      <c r="L4" s="32">
        <v>65987957167</v>
      </c>
      <c r="M4" s="32" t="s">
        <v>2314</v>
      </c>
      <c r="N4" s="32" t="s">
        <v>101</v>
      </c>
      <c r="O4">
        <v>110.59</v>
      </c>
      <c r="P4">
        <v>116.35</v>
      </c>
      <c r="Q4">
        <v>116.35</v>
      </c>
      <c r="R4" s="32">
        <v>20</v>
      </c>
      <c r="S4" s="32" t="s">
        <v>94</v>
      </c>
      <c r="T4" s="32"/>
      <c r="U4" s="24" t="s">
        <v>102</v>
      </c>
      <c r="V4" t="s">
        <v>103</v>
      </c>
      <c r="W4">
        <v>8500</v>
      </c>
      <c r="X4" t="s">
        <v>104</v>
      </c>
      <c r="Y4" t="s">
        <v>105</v>
      </c>
      <c r="Z4" t="s">
        <v>89</v>
      </c>
      <c r="AA4">
        <v>3000064722</v>
      </c>
      <c r="AB4" t="s">
        <v>106</v>
      </c>
      <c r="AC4" s="23">
        <v>43471</v>
      </c>
    </row>
    <row r="5" spans="1:29" hidden="1" x14ac:dyDescent="0.25">
      <c r="A5">
        <v>336</v>
      </c>
      <c r="B5" t="s">
        <v>9</v>
      </c>
      <c r="C5" s="32" t="s">
        <v>107</v>
      </c>
      <c r="D5" s="32" t="s">
        <v>11</v>
      </c>
      <c r="E5" t="s">
        <v>92</v>
      </c>
      <c r="F5">
        <v>3</v>
      </c>
      <c r="G5" s="33">
        <v>28633</v>
      </c>
      <c r="H5" s="33">
        <v>38006</v>
      </c>
      <c r="I5" s="23">
        <v>42684</v>
      </c>
      <c r="J5" t="s">
        <v>81</v>
      </c>
      <c r="K5" t="s">
        <v>82</v>
      </c>
      <c r="L5" s="32">
        <v>56977836362</v>
      </c>
      <c r="M5" s="32" t="s">
        <v>2315</v>
      </c>
      <c r="N5" s="32" t="s">
        <v>108</v>
      </c>
      <c r="O5">
        <v>110.59</v>
      </c>
      <c r="P5">
        <v>116.35</v>
      </c>
      <c r="Q5">
        <v>116.35</v>
      </c>
      <c r="R5" s="32">
        <v>20</v>
      </c>
      <c r="T5" s="32"/>
      <c r="U5" s="24" t="s">
        <v>109</v>
      </c>
      <c r="V5" t="s">
        <v>110</v>
      </c>
      <c r="W5">
        <v>45600</v>
      </c>
      <c r="X5" t="s">
        <v>111</v>
      </c>
      <c r="Y5" t="s">
        <v>112</v>
      </c>
      <c r="Z5" t="s">
        <v>89</v>
      </c>
      <c r="AA5">
        <v>1407089249</v>
      </c>
      <c r="AC5" s="23">
        <v>43471</v>
      </c>
    </row>
    <row r="6" spans="1:29" hidden="1" x14ac:dyDescent="0.25">
      <c r="A6">
        <v>337</v>
      </c>
      <c r="B6" t="s">
        <v>9</v>
      </c>
      <c r="C6" s="32" t="s">
        <v>113</v>
      </c>
      <c r="D6" s="32" t="s">
        <v>11</v>
      </c>
      <c r="E6" t="s">
        <v>92</v>
      </c>
      <c r="F6">
        <v>5</v>
      </c>
      <c r="G6" s="33">
        <v>31174</v>
      </c>
      <c r="H6" s="33">
        <v>37438</v>
      </c>
      <c r="I6" s="23">
        <v>42901</v>
      </c>
      <c r="J6" t="s">
        <v>81</v>
      </c>
      <c r="K6" t="s">
        <v>82</v>
      </c>
      <c r="L6" s="32">
        <v>92028525548</v>
      </c>
      <c r="M6" s="32" t="s">
        <v>2316</v>
      </c>
      <c r="N6" s="32" t="s">
        <v>114</v>
      </c>
      <c r="O6">
        <v>213.43</v>
      </c>
      <c r="P6">
        <v>224.54</v>
      </c>
      <c r="Q6">
        <v>115.59</v>
      </c>
      <c r="R6" s="32">
        <v>19</v>
      </c>
      <c r="T6" s="32"/>
      <c r="U6" s="24" t="s">
        <v>115</v>
      </c>
      <c r="V6" t="s">
        <v>116</v>
      </c>
      <c r="W6">
        <v>32690</v>
      </c>
      <c r="X6" t="s">
        <v>117</v>
      </c>
      <c r="Y6" t="s">
        <v>118</v>
      </c>
      <c r="Z6" t="s">
        <v>89</v>
      </c>
      <c r="AA6">
        <v>806369282</v>
      </c>
      <c r="AC6" s="23">
        <v>43091</v>
      </c>
    </row>
    <row r="7" spans="1:29" hidden="1" x14ac:dyDescent="0.25">
      <c r="A7">
        <v>338</v>
      </c>
      <c r="B7" t="s">
        <v>9</v>
      </c>
      <c r="C7" s="32" t="s">
        <v>119</v>
      </c>
      <c r="D7" s="32" t="s">
        <v>79</v>
      </c>
      <c r="E7" t="s">
        <v>120</v>
      </c>
      <c r="F7">
        <v>658</v>
      </c>
      <c r="G7" s="33">
        <v>30710</v>
      </c>
      <c r="H7" s="33">
        <v>42342</v>
      </c>
      <c r="I7" s="23">
        <v>43471</v>
      </c>
      <c r="J7" t="s">
        <v>81</v>
      </c>
      <c r="K7" t="s">
        <v>82</v>
      </c>
      <c r="L7" s="32">
        <v>33008410426</v>
      </c>
      <c r="M7" s="32" t="s">
        <v>2317</v>
      </c>
      <c r="N7" s="32" t="s">
        <v>121</v>
      </c>
      <c r="O7">
        <v>110.59</v>
      </c>
      <c r="P7">
        <v>115.59</v>
      </c>
      <c r="Q7">
        <v>115.59</v>
      </c>
      <c r="R7" s="32">
        <v>20</v>
      </c>
      <c r="S7" s="32" t="s">
        <v>94</v>
      </c>
      <c r="T7" s="32" t="s">
        <v>122</v>
      </c>
      <c r="U7" s="24" t="s">
        <v>123</v>
      </c>
      <c r="V7" t="s">
        <v>124</v>
      </c>
      <c r="W7">
        <v>54197</v>
      </c>
      <c r="X7" t="s">
        <v>125</v>
      </c>
      <c r="Y7" t="s">
        <v>88</v>
      </c>
      <c r="Z7" t="s">
        <v>89</v>
      </c>
      <c r="AA7">
        <v>804072751</v>
      </c>
      <c r="AB7" t="s">
        <v>126</v>
      </c>
      <c r="AC7" s="23">
        <v>43369</v>
      </c>
    </row>
    <row r="8" spans="1:29" hidden="1" x14ac:dyDescent="0.25">
      <c r="A8">
        <v>339</v>
      </c>
      <c r="B8" t="s">
        <v>9</v>
      </c>
      <c r="C8" s="32" t="s">
        <v>127</v>
      </c>
      <c r="D8" s="32" t="s">
        <v>11</v>
      </c>
      <c r="F8">
        <v>478</v>
      </c>
      <c r="G8" s="33">
        <v>20403</v>
      </c>
      <c r="H8" s="33">
        <v>41162</v>
      </c>
      <c r="I8" s="23">
        <v>41162</v>
      </c>
      <c r="J8" t="s">
        <v>81</v>
      </c>
      <c r="K8" t="s">
        <v>82</v>
      </c>
      <c r="L8" s="32">
        <v>6805502553</v>
      </c>
      <c r="M8" s="32" t="s">
        <v>2318</v>
      </c>
      <c r="N8" s="32" t="s">
        <v>128</v>
      </c>
      <c r="O8">
        <v>110.59</v>
      </c>
      <c r="P8">
        <v>116.04</v>
      </c>
      <c r="Q8" t="s">
        <v>9</v>
      </c>
      <c r="R8" s="32">
        <v>20</v>
      </c>
      <c r="S8" s="32" t="s">
        <v>94</v>
      </c>
      <c r="T8" s="32" t="s">
        <v>129</v>
      </c>
      <c r="U8" s="24" t="s">
        <v>130</v>
      </c>
      <c r="V8" t="s">
        <v>131</v>
      </c>
      <c r="W8">
        <v>42814</v>
      </c>
      <c r="X8" t="s">
        <v>132</v>
      </c>
      <c r="Y8" t="s">
        <v>133</v>
      </c>
      <c r="Z8" t="s">
        <v>89</v>
      </c>
      <c r="AC8" s="23">
        <v>42684</v>
      </c>
    </row>
    <row r="9" spans="1:29" hidden="1" x14ac:dyDescent="0.25">
      <c r="A9">
        <v>340</v>
      </c>
      <c r="B9" t="s">
        <v>9</v>
      </c>
      <c r="C9" s="32" t="s">
        <v>134</v>
      </c>
      <c r="D9" s="32" t="s">
        <v>11</v>
      </c>
      <c r="E9" t="s">
        <v>92</v>
      </c>
      <c r="F9">
        <v>128</v>
      </c>
      <c r="G9" s="33">
        <v>21755</v>
      </c>
      <c r="H9" s="33">
        <v>38063</v>
      </c>
      <c r="I9" s="23">
        <v>42684</v>
      </c>
      <c r="J9" t="s">
        <v>81</v>
      </c>
      <c r="K9" t="s">
        <v>82</v>
      </c>
      <c r="L9" s="32">
        <v>71785908964</v>
      </c>
      <c r="M9" s="32" t="s">
        <v>2319</v>
      </c>
      <c r="N9" s="32" t="s">
        <v>135</v>
      </c>
      <c r="O9">
        <v>110.59</v>
      </c>
      <c r="P9">
        <v>116.35</v>
      </c>
      <c r="Q9">
        <v>116.35</v>
      </c>
      <c r="R9" s="32">
        <v>20</v>
      </c>
      <c r="T9" s="32"/>
      <c r="U9" s="24" t="s">
        <v>136</v>
      </c>
      <c r="V9" t="s">
        <v>137</v>
      </c>
      <c r="W9">
        <v>45400</v>
      </c>
      <c r="X9" t="s">
        <v>138</v>
      </c>
      <c r="Y9" t="s">
        <v>112</v>
      </c>
      <c r="Z9" t="s">
        <v>89</v>
      </c>
      <c r="AA9">
        <v>1410167808</v>
      </c>
      <c r="AC9" s="23">
        <v>43125</v>
      </c>
    </row>
    <row r="10" spans="1:29" hidden="1" x14ac:dyDescent="0.25">
      <c r="A10">
        <v>341</v>
      </c>
      <c r="B10" t="s">
        <v>9</v>
      </c>
      <c r="C10" s="32" t="s">
        <v>139</v>
      </c>
      <c r="D10" s="32" t="s">
        <v>11</v>
      </c>
      <c r="E10" t="s">
        <v>92</v>
      </c>
      <c r="F10">
        <v>617</v>
      </c>
      <c r="G10" s="33">
        <v>25581</v>
      </c>
      <c r="H10" s="33">
        <v>42006</v>
      </c>
      <c r="I10" s="23">
        <v>42144</v>
      </c>
      <c r="J10" t="s">
        <v>81</v>
      </c>
      <c r="K10" t="s">
        <v>82</v>
      </c>
      <c r="L10" s="32">
        <v>43937014173</v>
      </c>
      <c r="M10" s="32" t="s">
        <v>2320</v>
      </c>
      <c r="N10" s="32" t="s">
        <v>140</v>
      </c>
      <c r="O10">
        <v>110.59</v>
      </c>
      <c r="P10">
        <v>115.59</v>
      </c>
      <c r="Q10">
        <v>115.59</v>
      </c>
      <c r="R10" s="32">
        <v>20</v>
      </c>
      <c r="S10" s="32" t="s">
        <v>94</v>
      </c>
      <c r="T10" s="32" t="s">
        <v>141</v>
      </c>
      <c r="U10" s="24" t="s">
        <v>142</v>
      </c>
      <c r="V10" t="s">
        <v>143</v>
      </c>
      <c r="W10">
        <v>73780</v>
      </c>
      <c r="X10" t="s">
        <v>144</v>
      </c>
      <c r="Y10" t="s">
        <v>145</v>
      </c>
      <c r="Z10" t="s">
        <v>89</v>
      </c>
      <c r="AB10" t="s">
        <v>146</v>
      </c>
      <c r="AC10" s="23">
        <v>43471</v>
      </c>
    </row>
    <row r="11" spans="1:29" hidden="1" x14ac:dyDescent="0.25">
      <c r="A11">
        <v>342</v>
      </c>
      <c r="B11" t="s">
        <v>9</v>
      </c>
      <c r="C11" s="32" t="s">
        <v>147</v>
      </c>
      <c r="D11" s="32" t="s">
        <v>11</v>
      </c>
      <c r="F11">
        <v>509</v>
      </c>
      <c r="G11" s="33">
        <v>23484</v>
      </c>
      <c r="H11" s="33">
        <v>41478</v>
      </c>
      <c r="I11" s="23">
        <v>41478</v>
      </c>
      <c r="J11" t="s">
        <v>81</v>
      </c>
      <c r="K11" t="s">
        <v>82</v>
      </c>
      <c r="L11" s="32">
        <v>23846428169</v>
      </c>
      <c r="M11" s="32" t="s">
        <v>2321</v>
      </c>
      <c r="N11" s="32" t="s">
        <v>148</v>
      </c>
      <c r="O11">
        <v>110.59</v>
      </c>
      <c r="P11">
        <v>115.89</v>
      </c>
      <c r="Q11" t="s">
        <v>9</v>
      </c>
      <c r="R11" s="32">
        <v>7</v>
      </c>
      <c r="S11" s="32" t="s">
        <v>94</v>
      </c>
      <c r="T11" s="32" t="s">
        <v>149</v>
      </c>
      <c r="U11" s="24" t="s">
        <v>150</v>
      </c>
      <c r="V11" t="s">
        <v>151</v>
      </c>
      <c r="W11">
        <v>81371</v>
      </c>
      <c r="X11" t="s">
        <v>152</v>
      </c>
      <c r="Y11" t="s">
        <v>153</v>
      </c>
      <c r="Z11" t="s">
        <v>89</v>
      </c>
      <c r="AB11" t="s">
        <v>154</v>
      </c>
      <c r="AC11" s="23">
        <v>42056</v>
      </c>
    </row>
    <row r="12" spans="1:29" hidden="1" x14ac:dyDescent="0.25">
      <c r="A12">
        <v>343</v>
      </c>
      <c r="B12" t="s">
        <v>9</v>
      </c>
      <c r="C12" s="32" t="s">
        <v>155</v>
      </c>
      <c r="D12" s="32" t="s">
        <v>11</v>
      </c>
      <c r="F12">
        <v>11</v>
      </c>
      <c r="G12" s="33">
        <v>25027</v>
      </c>
      <c r="H12" s="33">
        <v>37340</v>
      </c>
      <c r="I12" s="23">
        <v>37647</v>
      </c>
      <c r="J12" t="s">
        <v>81</v>
      </c>
      <c r="K12" t="s">
        <v>82</v>
      </c>
      <c r="L12" s="32">
        <v>24846825321</v>
      </c>
      <c r="M12" s="32" t="s">
        <v>2322</v>
      </c>
      <c r="N12" s="32" t="s">
        <v>156</v>
      </c>
      <c r="O12">
        <v>110.59</v>
      </c>
      <c r="P12">
        <v>116.35</v>
      </c>
      <c r="Q12" t="s">
        <v>9</v>
      </c>
      <c r="R12" s="32">
        <v>7</v>
      </c>
      <c r="T12" s="32" t="s">
        <v>157</v>
      </c>
      <c r="U12" s="24" t="s">
        <v>158</v>
      </c>
      <c r="V12" t="s">
        <v>159</v>
      </c>
      <c r="W12">
        <v>84000</v>
      </c>
      <c r="X12" t="s">
        <v>160</v>
      </c>
      <c r="Y12" t="s">
        <v>161</v>
      </c>
      <c r="Z12" t="s">
        <v>89</v>
      </c>
      <c r="AA12">
        <v>2609058947</v>
      </c>
      <c r="AC12" s="23">
        <v>42684</v>
      </c>
    </row>
    <row r="13" spans="1:29" hidden="1" x14ac:dyDescent="0.25">
      <c r="A13">
        <v>344</v>
      </c>
      <c r="B13" t="s">
        <v>9</v>
      </c>
      <c r="C13" s="32" t="s">
        <v>162</v>
      </c>
      <c r="D13" s="32" t="s">
        <v>79</v>
      </c>
      <c r="E13" t="s">
        <v>92</v>
      </c>
      <c r="F13">
        <v>423</v>
      </c>
      <c r="G13" s="33">
        <v>22316</v>
      </c>
      <c r="H13" s="33">
        <v>40686</v>
      </c>
      <c r="I13" s="23">
        <v>43471</v>
      </c>
      <c r="J13" t="s">
        <v>81</v>
      </c>
      <c r="K13" t="s">
        <v>82</v>
      </c>
      <c r="L13" s="32">
        <v>1796183661</v>
      </c>
      <c r="M13" s="32" t="s">
        <v>2323</v>
      </c>
      <c r="N13" s="32" t="s">
        <v>163</v>
      </c>
      <c r="O13">
        <v>110.59</v>
      </c>
      <c r="P13">
        <v>116.19</v>
      </c>
      <c r="Q13">
        <v>116.19</v>
      </c>
      <c r="R13" s="32">
        <v>20</v>
      </c>
      <c r="T13" s="32" t="s">
        <v>164</v>
      </c>
      <c r="U13" s="24" t="s">
        <v>165</v>
      </c>
      <c r="V13" t="s">
        <v>166</v>
      </c>
      <c r="W13">
        <v>55230</v>
      </c>
      <c r="X13" t="s">
        <v>167</v>
      </c>
      <c r="Y13" t="s">
        <v>88</v>
      </c>
      <c r="Z13" t="s">
        <v>89</v>
      </c>
      <c r="AA13">
        <v>908296673</v>
      </c>
      <c r="AB13" t="s">
        <v>168</v>
      </c>
      <c r="AC13" s="23">
        <v>43140</v>
      </c>
    </row>
    <row r="14" spans="1:29" hidden="1" x14ac:dyDescent="0.25">
      <c r="A14">
        <v>345</v>
      </c>
      <c r="B14" t="s">
        <v>9</v>
      </c>
      <c r="C14" s="32" t="s">
        <v>169</v>
      </c>
      <c r="D14" s="32" t="s">
        <v>11</v>
      </c>
      <c r="F14">
        <v>602</v>
      </c>
      <c r="G14" s="33">
        <v>22466</v>
      </c>
      <c r="H14" s="33">
        <v>41962</v>
      </c>
      <c r="I14" s="23">
        <v>41964</v>
      </c>
      <c r="J14" t="s">
        <v>81</v>
      </c>
      <c r="K14" t="s">
        <v>82</v>
      </c>
      <c r="L14" s="32">
        <v>33846133412</v>
      </c>
      <c r="M14" s="32" t="s">
        <v>2324</v>
      </c>
      <c r="N14" s="32" t="s">
        <v>170</v>
      </c>
      <c r="O14">
        <v>110.59</v>
      </c>
      <c r="P14">
        <v>115.59</v>
      </c>
      <c r="Q14" t="s">
        <v>9</v>
      </c>
      <c r="R14" s="32">
        <v>19</v>
      </c>
      <c r="S14" s="32" t="s">
        <v>94</v>
      </c>
      <c r="T14" s="32" t="s">
        <v>171</v>
      </c>
      <c r="U14" s="24" t="s">
        <v>172</v>
      </c>
      <c r="V14" t="s">
        <v>173</v>
      </c>
      <c r="W14">
        <v>31107</v>
      </c>
      <c r="X14" t="s">
        <v>118</v>
      </c>
      <c r="Y14" t="s">
        <v>118</v>
      </c>
      <c r="Z14" t="s">
        <v>89</v>
      </c>
      <c r="AB14" t="s">
        <v>174</v>
      </c>
      <c r="AC14" s="23">
        <v>42023</v>
      </c>
    </row>
    <row r="15" spans="1:29" hidden="1" x14ac:dyDescent="0.25">
      <c r="A15">
        <v>346</v>
      </c>
      <c r="B15" t="s">
        <v>9</v>
      </c>
      <c r="C15" s="32" t="s">
        <v>175</v>
      </c>
      <c r="D15" s="32" t="s">
        <v>11</v>
      </c>
      <c r="F15">
        <v>302</v>
      </c>
      <c r="G15" s="33">
        <v>24297</v>
      </c>
      <c r="H15" s="33">
        <v>41601</v>
      </c>
      <c r="I15" s="23">
        <v>41601</v>
      </c>
      <c r="J15" t="s">
        <v>81</v>
      </c>
      <c r="K15" t="s">
        <v>82</v>
      </c>
      <c r="L15" s="32">
        <v>31846615727</v>
      </c>
      <c r="M15" s="32" t="s">
        <v>2325</v>
      </c>
      <c r="N15" s="32" t="s">
        <v>176</v>
      </c>
      <c r="O15">
        <v>110.59</v>
      </c>
      <c r="P15">
        <v>115.59</v>
      </c>
      <c r="Q15" t="s">
        <v>9</v>
      </c>
      <c r="R15" s="32">
        <v>17</v>
      </c>
      <c r="S15" s="32" t="s">
        <v>94</v>
      </c>
      <c r="T15" s="32" t="s">
        <v>177</v>
      </c>
      <c r="U15" s="24" t="s">
        <v>178</v>
      </c>
      <c r="V15" t="s">
        <v>179</v>
      </c>
      <c r="W15">
        <v>22253</v>
      </c>
      <c r="X15" t="s">
        <v>180</v>
      </c>
      <c r="Y15" t="s">
        <v>181</v>
      </c>
      <c r="Z15" t="s">
        <v>89</v>
      </c>
      <c r="AA15">
        <v>1099015478</v>
      </c>
      <c r="AC15" s="23">
        <v>42684</v>
      </c>
    </row>
    <row r="16" spans="1:29" hidden="1" x14ac:dyDescent="0.25">
      <c r="A16">
        <v>347</v>
      </c>
      <c r="B16" t="s">
        <v>9</v>
      </c>
      <c r="C16" s="32" t="s">
        <v>182</v>
      </c>
      <c r="D16" s="32" t="s">
        <v>11</v>
      </c>
      <c r="F16">
        <v>661</v>
      </c>
      <c r="G16" s="33">
        <v>25237</v>
      </c>
      <c r="H16" s="33">
        <v>42347</v>
      </c>
      <c r="I16" s="23">
        <v>42347</v>
      </c>
      <c r="J16" t="s">
        <v>81</v>
      </c>
      <c r="K16" t="s">
        <v>82</v>
      </c>
      <c r="L16" s="32">
        <v>24886911684</v>
      </c>
      <c r="M16" s="32" t="s">
        <v>2326</v>
      </c>
      <c r="N16" s="32" t="s">
        <v>183</v>
      </c>
      <c r="O16">
        <v>110.59</v>
      </c>
      <c r="P16">
        <v>115.59</v>
      </c>
      <c r="Q16" t="s">
        <v>9</v>
      </c>
      <c r="R16" s="32">
        <v>23</v>
      </c>
      <c r="S16" s="32" t="s">
        <v>94</v>
      </c>
      <c r="T16" s="32">
        <v>6441992603</v>
      </c>
      <c r="U16" s="24" t="s">
        <v>184</v>
      </c>
      <c r="V16" t="s">
        <v>185</v>
      </c>
      <c r="W16">
        <v>85136</v>
      </c>
      <c r="X16" t="s">
        <v>186</v>
      </c>
      <c r="Y16" t="s">
        <v>161</v>
      </c>
      <c r="Z16" t="s">
        <v>89</v>
      </c>
      <c r="AC16" s="23">
        <v>42684</v>
      </c>
    </row>
    <row r="17" spans="1:29" hidden="1" x14ac:dyDescent="0.25">
      <c r="A17">
        <v>348</v>
      </c>
      <c r="B17" t="s">
        <v>9</v>
      </c>
      <c r="C17" s="32" t="s">
        <v>187</v>
      </c>
      <c r="D17" s="32" t="s">
        <v>11</v>
      </c>
      <c r="E17" t="s">
        <v>92</v>
      </c>
      <c r="F17">
        <v>519</v>
      </c>
      <c r="G17" s="33">
        <v>26009</v>
      </c>
      <c r="H17" s="33">
        <v>41379</v>
      </c>
      <c r="I17" s="23">
        <v>41723</v>
      </c>
      <c r="J17" t="s">
        <v>81</v>
      </c>
      <c r="K17" t="s">
        <v>82</v>
      </c>
      <c r="L17" s="32">
        <v>72887109352</v>
      </c>
      <c r="M17" s="32" t="s">
        <v>2327</v>
      </c>
      <c r="N17" s="32" t="s">
        <v>188</v>
      </c>
      <c r="O17">
        <v>110.59</v>
      </c>
      <c r="P17">
        <v>115.89</v>
      </c>
      <c r="Q17">
        <v>115.89</v>
      </c>
      <c r="R17" s="32">
        <v>20</v>
      </c>
      <c r="S17" s="32" t="s">
        <v>94</v>
      </c>
      <c r="T17" s="32" t="s">
        <v>189</v>
      </c>
      <c r="U17" s="24" t="s">
        <v>190</v>
      </c>
      <c r="V17" t="s">
        <v>191</v>
      </c>
      <c r="W17">
        <v>39760</v>
      </c>
      <c r="X17" t="s">
        <v>192</v>
      </c>
      <c r="Y17" t="s">
        <v>193</v>
      </c>
      <c r="Z17" t="s">
        <v>89</v>
      </c>
      <c r="AB17" t="s">
        <v>194</v>
      </c>
      <c r="AC17" s="23">
        <v>43471</v>
      </c>
    </row>
    <row r="18" spans="1:29" hidden="1" x14ac:dyDescent="0.25">
      <c r="A18">
        <v>349</v>
      </c>
      <c r="B18" t="s">
        <v>9</v>
      </c>
      <c r="C18" s="32" t="s">
        <v>195</v>
      </c>
      <c r="D18" s="32" t="s">
        <v>11</v>
      </c>
      <c r="E18" t="s">
        <v>92</v>
      </c>
      <c r="F18">
        <v>539</v>
      </c>
      <c r="G18" s="33">
        <v>26424</v>
      </c>
      <c r="H18" s="33">
        <v>41537</v>
      </c>
      <c r="I18" s="23">
        <v>41936</v>
      </c>
      <c r="J18" t="s">
        <v>81</v>
      </c>
      <c r="K18" t="s">
        <v>82</v>
      </c>
      <c r="L18" s="32">
        <v>13877111107</v>
      </c>
      <c r="M18" s="32" t="s">
        <v>2328</v>
      </c>
      <c r="N18" s="32" t="s">
        <v>196</v>
      </c>
      <c r="O18">
        <v>110.59</v>
      </c>
      <c r="P18">
        <v>115.89</v>
      </c>
      <c r="Q18">
        <v>115.89</v>
      </c>
      <c r="R18" s="32">
        <v>20</v>
      </c>
      <c r="S18" s="32" t="s">
        <v>94</v>
      </c>
      <c r="T18" s="32">
        <v>7717913100</v>
      </c>
      <c r="U18" s="24" t="s">
        <v>197</v>
      </c>
      <c r="V18" t="s">
        <v>198</v>
      </c>
      <c r="W18">
        <v>42186</v>
      </c>
      <c r="X18" t="s">
        <v>199</v>
      </c>
      <c r="Y18" t="s">
        <v>133</v>
      </c>
      <c r="Z18" t="s">
        <v>89</v>
      </c>
      <c r="AB18" t="s">
        <v>200</v>
      </c>
      <c r="AC18" s="23">
        <v>43471</v>
      </c>
    </row>
    <row r="19" spans="1:29" hidden="1" x14ac:dyDescent="0.25">
      <c r="A19">
        <v>350</v>
      </c>
      <c r="B19" t="s">
        <v>9</v>
      </c>
      <c r="C19" s="32" t="s">
        <v>201</v>
      </c>
      <c r="D19" s="32" t="s">
        <v>79</v>
      </c>
      <c r="E19" t="s">
        <v>202</v>
      </c>
      <c r="F19">
        <v>597</v>
      </c>
      <c r="G19" s="33">
        <v>27775</v>
      </c>
      <c r="H19" s="33">
        <v>41950</v>
      </c>
      <c r="I19" s="23">
        <v>42885</v>
      </c>
      <c r="J19" t="s">
        <v>81</v>
      </c>
      <c r="K19" t="s">
        <v>82</v>
      </c>
      <c r="L19" s="32">
        <v>13937504770</v>
      </c>
      <c r="M19" s="32" t="s">
        <v>2329</v>
      </c>
      <c r="N19" s="32" t="s">
        <v>203</v>
      </c>
      <c r="O19">
        <v>110.59</v>
      </c>
      <c r="P19">
        <v>115.59</v>
      </c>
      <c r="Q19">
        <v>0</v>
      </c>
      <c r="R19" s="32">
        <v>20</v>
      </c>
      <c r="S19" s="32" t="s">
        <v>204</v>
      </c>
      <c r="T19" s="32" t="s">
        <v>205</v>
      </c>
      <c r="U19" s="24" t="s">
        <v>206</v>
      </c>
      <c r="V19" t="s">
        <v>207</v>
      </c>
      <c r="W19">
        <v>86410</v>
      </c>
      <c r="X19" t="s">
        <v>208</v>
      </c>
      <c r="Y19" t="s">
        <v>105</v>
      </c>
      <c r="Z19" t="s">
        <v>89</v>
      </c>
      <c r="AB19" t="s">
        <v>209</v>
      </c>
      <c r="AC19" s="23">
        <v>42901</v>
      </c>
    </row>
    <row r="20" spans="1:29" hidden="1" x14ac:dyDescent="0.25">
      <c r="A20">
        <v>351</v>
      </c>
      <c r="B20" t="s">
        <v>9</v>
      </c>
      <c r="C20" s="32" t="s">
        <v>210</v>
      </c>
      <c r="D20" s="32" t="s">
        <v>11</v>
      </c>
      <c r="E20" t="s">
        <v>92</v>
      </c>
      <c r="F20">
        <v>559</v>
      </c>
      <c r="G20" s="33">
        <v>30322</v>
      </c>
      <c r="H20" s="33">
        <v>41636</v>
      </c>
      <c r="I20" s="23">
        <v>42504</v>
      </c>
      <c r="J20" t="s">
        <v>81</v>
      </c>
      <c r="K20" t="s">
        <v>82</v>
      </c>
      <c r="L20" s="32">
        <v>13068308553</v>
      </c>
      <c r="M20" s="32" t="s">
        <v>2330</v>
      </c>
      <c r="N20" s="32" t="s">
        <v>211</v>
      </c>
      <c r="O20">
        <v>110.59</v>
      </c>
      <c r="P20">
        <v>115.59</v>
      </c>
      <c r="Q20">
        <v>115.59</v>
      </c>
      <c r="R20" s="32">
        <v>20</v>
      </c>
      <c r="S20" s="32" t="s">
        <v>204</v>
      </c>
      <c r="T20" s="32" t="s">
        <v>212</v>
      </c>
      <c r="U20" s="24" t="s">
        <v>197</v>
      </c>
      <c r="V20" t="s">
        <v>213</v>
      </c>
      <c r="W20">
        <v>42180</v>
      </c>
      <c r="X20" t="s">
        <v>199</v>
      </c>
      <c r="Y20" t="s">
        <v>133</v>
      </c>
      <c r="Z20" t="s">
        <v>89</v>
      </c>
      <c r="AB20" t="s">
        <v>214</v>
      </c>
      <c r="AC20" s="23">
        <v>43471</v>
      </c>
    </row>
    <row r="21" spans="1:29" hidden="1" x14ac:dyDescent="0.25">
      <c r="A21">
        <v>352</v>
      </c>
      <c r="B21" t="s">
        <v>9</v>
      </c>
      <c r="C21" s="32" t="s">
        <v>215</v>
      </c>
      <c r="D21" s="32" t="s">
        <v>79</v>
      </c>
      <c r="E21" t="s">
        <v>80</v>
      </c>
      <c r="F21">
        <v>309</v>
      </c>
      <c r="G21" s="33">
        <v>31850</v>
      </c>
      <c r="H21" s="33">
        <v>39419</v>
      </c>
      <c r="I21" s="23">
        <v>42684</v>
      </c>
      <c r="J21" t="s">
        <v>81</v>
      </c>
      <c r="K21" t="s">
        <v>82</v>
      </c>
      <c r="L21" s="32">
        <v>33068797779</v>
      </c>
      <c r="M21" s="32" t="s">
        <v>2331</v>
      </c>
      <c r="N21" s="32" t="s">
        <v>216</v>
      </c>
      <c r="O21">
        <v>117.6</v>
      </c>
      <c r="P21">
        <v>122.92</v>
      </c>
      <c r="Q21">
        <v>122.92</v>
      </c>
      <c r="R21" s="32">
        <v>19</v>
      </c>
      <c r="T21" s="32"/>
      <c r="U21" s="24" t="s">
        <v>217</v>
      </c>
      <c r="V21" t="s">
        <v>218</v>
      </c>
      <c r="W21">
        <v>31109</v>
      </c>
      <c r="X21" t="s">
        <v>118</v>
      </c>
      <c r="Y21" t="s">
        <v>118</v>
      </c>
      <c r="Z21" t="s">
        <v>89</v>
      </c>
      <c r="AC21" s="23">
        <v>43452</v>
      </c>
    </row>
    <row r="22" spans="1:29" hidden="1" x14ac:dyDescent="0.25">
      <c r="A22">
        <v>353</v>
      </c>
      <c r="B22" t="s">
        <v>9</v>
      </c>
      <c r="C22" s="32" t="s">
        <v>219</v>
      </c>
      <c r="D22" s="32" t="s">
        <v>79</v>
      </c>
      <c r="E22" t="s">
        <v>92</v>
      </c>
      <c r="F22">
        <v>329</v>
      </c>
      <c r="G22" s="33">
        <v>23749</v>
      </c>
      <c r="H22" s="33">
        <v>39582</v>
      </c>
      <c r="I22" s="23">
        <v>43471</v>
      </c>
      <c r="J22" t="s">
        <v>81</v>
      </c>
      <c r="K22" t="s">
        <v>82</v>
      </c>
      <c r="L22" s="32">
        <v>42816432316</v>
      </c>
      <c r="M22" s="32" t="s">
        <v>2332</v>
      </c>
      <c r="N22" s="32" t="s">
        <v>220</v>
      </c>
      <c r="O22">
        <v>110.59</v>
      </c>
      <c r="P22">
        <v>116.19</v>
      </c>
      <c r="Q22">
        <v>116.19</v>
      </c>
      <c r="R22" s="32">
        <v>20</v>
      </c>
      <c r="S22" s="32" t="s">
        <v>94</v>
      </c>
      <c r="T22" s="32"/>
      <c r="U22" s="24" t="s">
        <v>221</v>
      </c>
      <c r="V22" t="s">
        <v>222</v>
      </c>
      <c r="W22">
        <v>54180</v>
      </c>
      <c r="X22" t="s">
        <v>125</v>
      </c>
      <c r="Y22" t="s">
        <v>223</v>
      </c>
      <c r="Z22" t="s">
        <v>89</v>
      </c>
      <c r="AA22">
        <v>1515164900</v>
      </c>
      <c r="AB22" t="s">
        <v>224</v>
      </c>
      <c r="AC22" s="23">
        <v>43140</v>
      </c>
    </row>
    <row r="23" spans="1:29" hidden="1" x14ac:dyDescent="0.25">
      <c r="A23">
        <v>354</v>
      </c>
      <c r="B23" t="s">
        <v>9</v>
      </c>
      <c r="C23" s="32" t="s">
        <v>225</v>
      </c>
      <c r="D23" s="32" t="s">
        <v>11</v>
      </c>
      <c r="E23" t="s">
        <v>92</v>
      </c>
      <c r="F23">
        <v>24</v>
      </c>
      <c r="G23" s="33">
        <v>21555</v>
      </c>
      <c r="H23" s="33">
        <v>37734</v>
      </c>
      <c r="I23" s="23">
        <v>41706</v>
      </c>
      <c r="J23" t="s">
        <v>81</v>
      </c>
      <c r="K23" t="s">
        <v>82</v>
      </c>
      <c r="L23" s="32">
        <v>15855903892</v>
      </c>
      <c r="M23" s="32" t="s">
        <v>2333</v>
      </c>
      <c r="N23" s="32" t="s">
        <v>226</v>
      </c>
      <c r="O23">
        <v>110.59</v>
      </c>
      <c r="P23">
        <v>116.35</v>
      </c>
      <c r="Q23">
        <v>116.35</v>
      </c>
      <c r="R23" s="32">
        <v>20</v>
      </c>
      <c r="S23" s="32" t="s">
        <v>94</v>
      </c>
      <c r="T23" s="32"/>
      <c r="U23" s="24" t="s">
        <v>227</v>
      </c>
      <c r="V23" t="s">
        <v>228</v>
      </c>
      <c r="W23">
        <v>62747</v>
      </c>
      <c r="X23" t="s">
        <v>229</v>
      </c>
      <c r="Y23" t="s">
        <v>230</v>
      </c>
      <c r="Z23" t="s">
        <v>89</v>
      </c>
      <c r="AB23" t="s">
        <v>231</v>
      </c>
      <c r="AC23" s="23">
        <v>43471</v>
      </c>
    </row>
    <row r="24" spans="1:29" hidden="1" x14ac:dyDescent="0.25">
      <c r="A24">
        <v>355</v>
      </c>
      <c r="B24" t="s">
        <v>9</v>
      </c>
      <c r="C24" s="32" t="s">
        <v>232</v>
      </c>
      <c r="D24" s="32" t="s">
        <v>11</v>
      </c>
      <c r="F24">
        <v>25</v>
      </c>
      <c r="G24" s="33">
        <v>23807</v>
      </c>
      <c r="H24" s="33">
        <v>36578</v>
      </c>
      <c r="I24" s="23">
        <v>36578</v>
      </c>
      <c r="J24" t="s">
        <v>81</v>
      </c>
      <c r="K24" t="s">
        <v>82</v>
      </c>
      <c r="L24" s="32">
        <v>33816399233</v>
      </c>
      <c r="M24" s="32" t="s">
        <v>2334</v>
      </c>
      <c r="N24" s="32" t="s">
        <v>233</v>
      </c>
      <c r="O24">
        <v>110.59</v>
      </c>
      <c r="P24">
        <v>116.5</v>
      </c>
      <c r="Q24" t="s">
        <v>9</v>
      </c>
      <c r="R24" s="32">
        <v>19</v>
      </c>
      <c r="S24" s="32" t="s">
        <v>94</v>
      </c>
      <c r="T24" s="32"/>
      <c r="U24" t="s">
        <v>234</v>
      </c>
      <c r="V24" t="s">
        <v>235</v>
      </c>
      <c r="W24">
        <v>33820</v>
      </c>
      <c r="X24" t="s">
        <v>117</v>
      </c>
      <c r="Y24" t="s">
        <v>118</v>
      </c>
      <c r="Z24" t="s">
        <v>89</v>
      </c>
      <c r="AC24" s="23">
        <v>42684</v>
      </c>
    </row>
    <row r="25" spans="1:29" hidden="1" x14ac:dyDescent="0.25">
      <c r="A25">
        <v>356</v>
      </c>
      <c r="B25" t="s">
        <v>9</v>
      </c>
      <c r="C25" s="32" t="s">
        <v>236</v>
      </c>
      <c r="D25" s="32" t="s">
        <v>11</v>
      </c>
      <c r="E25" t="s">
        <v>92</v>
      </c>
      <c r="F25">
        <v>228</v>
      </c>
      <c r="G25" s="33">
        <v>25807</v>
      </c>
      <c r="H25" s="33">
        <v>38951</v>
      </c>
      <c r="I25" s="23">
        <v>40918</v>
      </c>
      <c r="J25" t="s">
        <v>81</v>
      </c>
      <c r="K25" t="s">
        <v>82</v>
      </c>
      <c r="L25" s="32">
        <v>94907011525</v>
      </c>
      <c r="M25" s="32" t="s">
        <v>2335</v>
      </c>
      <c r="N25" s="32" t="s">
        <v>237</v>
      </c>
      <c r="O25">
        <v>110.59</v>
      </c>
      <c r="P25">
        <v>116.35</v>
      </c>
      <c r="Q25">
        <v>116.35</v>
      </c>
      <c r="R25" s="32">
        <v>20</v>
      </c>
      <c r="T25" s="32"/>
      <c r="U25" t="s">
        <v>238</v>
      </c>
      <c r="V25" t="s">
        <v>239</v>
      </c>
      <c r="W25">
        <v>55234</v>
      </c>
      <c r="X25" t="s">
        <v>240</v>
      </c>
      <c r="Y25" t="s">
        <v>223</v>
      </c>
      <c r="Z25" t="s">
        <v>89</v>
      </c>
      <c r="AB25" t="s">
        <v>241</v>
      </c>
      <c r="AC25" s="23">
        <v>43471</v>
      </c>
    </row>
    <row r="26" spans="1:29" hidden="1" x14ac:dyDescent="0.25">
      <c r="A26">
        <v>357</v>
      </c>
      <c r="B26" t="s">
        <v>9</v>
      </c>
      <c r="C26" s="32" t="s">
        <v>242</v>
      </c>
      <c r="D26" s="32" t="s">
        <v>11</v>
      </c>
      <c r="F26">
        <v>440</v>
      </c>
      <c r="G26" s="33">
        <v>21199</v>
      </c>
      <c r="H26" s="33">
        <v>40767</v>
      </c>
      <c r="I26" s="23">
        <v>40774</v>
      </c>
      <c r="J26" t="s">
        <v>81</v>
      </c>
      <c r="K26" t="s">
        <v>82</v>
      </c>
      <c r="L26" s="32">
        <v>24935804807</v>
      </c>
      <c r="M26" s="32" t="s">
        <v>2336</v>
      </c>
      <c r="N26" s="32" t="s">
        <v>243</v>
      </c>
      <c r="O26">
        <v>110.59</v>
      </c>
      <c r="P26">
        <v>116.19</v>
      </c>
      <c r="Q26" t="s">
        <v>9</v>
      </c>
      <c r="R26" s="32">
        <v>7</v>
      </c>
      <c r="S26" s="32" t="s">
        <v>94</v>
      </c>
      <c r="T26" s="32"/>
      <c r="U26" t="s">
        <v>244</v>
      </c>
      <c r="V26" t="s">
        <v>245</v>
      </c>
      <c r="W26">
        <v>22194</v>
      </c>
      <c r="X26" t="s">
        <v>180</v>
      </c>
      <c r="Y26" t="s">
        <v>181</v>
      </c>
      <c r="Z26" t="s">
        <v>89</v>
      </c>
      <c r="AB26" t="s">
        <v>246</v>
      </c>
      <c r="AC26" s="23">
        <v>41045</v>
      </c>
    </row>
    <row r="27" spans="1:29" hidden="1" x14ac:dyDescent="0.25">
      <c r="A27">
        <v>358</v>
      </c>
      <c r="B27" t="s">
        <v>9</v>
      </c>
      <c r="C27" s="32" t="s">
        <v>247</v>
      </c>
      <c r="D27" s="32" t="s">
        <v>79</v>
      </c>
      <c r="E27" t="s">
        <v>92</v>
      </c>
      <c r="F27">
        <v>646</v>
      </c>
      <c r="G27" s="33">
        <v>27081</v>
      </c>
      <c r="H27" s="33">
        <v>42244</v>
      </c>
      <c r="I27" s="23">
        <v>42684</v>
      </c>
      <c r="J27" t="s">
        <v>81</v>
      </c>
      <c r="K27" t="s">
        <v>82</v>
      </c>
      <c r="L27" s="32">
        <v>96937200077</v>
      </c>
      <c r="M27" s="32" t="s">
        <v>2337</v>
      </c>
      <c r="N27" s="32" t="s">
        <v>248</v>
      </c>
      <c r="O27">
        <v>110.59</v>
      </c>
      <c r="P27">
        <v>156.46</v>
      </c>
      <c r="Q27">
        <v>156.46</v>
      </c>
      <c r="R27" s="32">
        <v>20</v>
      </c>
      <c r="S27" s="32" t="s">
        <v>94</v>
      </c>
      <c r="T27" s="32">
        <v>5539572879</v>
      </c>
      <c r="U27" t="s">
        <v>249</v>
      </c>
      <c r="V27" t="s">
        <v>250</v>
      </c>
      <c r="W27">
        <v>56500</v>
      </c>
      <c r="X27" t="s">
        <v>251</v>
      </c>
      <c r="Y27" t="s">
        <v>88</v>
      </c>
      <c r="Z27" t="s">
        <v>89</v>
      </c>
      <c r="AC27" s="23">
        <v>43140</v>
      </c>
    </row>
    <row r="28" spans="1:29" hidden="1" x14ac:dyDescent="0.25">
      <c r="A28">
        <v>359</v>
      </c>
      <c r="B28" t="s">
        <v>9</v>
      </c>
      <c r="C28" s="32" t="s">
        <v>252</v>
      </c>
      <c r="D28" s="32" t="s">
        <v>11</v>
      </c>
      <c r="F28">
        <v>27</v>
      </c>
      <c r="G28" s="33">
        <v>24221</v>
      </c>
      <c r="H28" s="33">
        <v>37861</v>
      </c>
      <c r="I28" s="23">
        <v>37861</v>
      </c>
      <c r="J28" t="s">
        <v>81</v>
      </c>
      <c r="K28" t="s">
        <v>82</v>
      </c>
      <c r="L28" s="32">
        <v>33826633233</v>
      </c>
      <c r="M28" s="32" t="s">
        <v>2338</v>
      </c>
      <c r="N28" s="32" t="s">
        <v>253</v>
      </c>
      <c r="O28">
        <v>110.59</v>
      </c>
      <c r="P28">
        <v>116.35</v>
      </c>
      <c r="Q28" t="s">
        <v>9</v>
      </c>
      <c r="R28" s="32">
        <v>19</v>
      </c>
      <c r="T28" s="32"/>
      <c r="U28" t="s">
        <v>254</v>
      </c>
      <c r="V28" t="s">
        <v>255</v>
      </c>
      <c r="W28">
        <v>32328</v>
      </c>
      <c r="X28" t="s">
        <v>117</v>
      </c>
      <c r="Y28" t="s">
        <v>118</v>
      </c>
      <c r="Z28" t="s">
        <v>89</v>
      </c>
      <c r="AC28" s="23">
        <v>42684</v>
      </c>
    </row>
    <row r="29" spans="1:29" hidden="1" x14ac:dyDescent="0.25">
      <c r="A29">
        <v>361</v>
      </c>
      <c r="B29" t="s">
        <v>9</v>
      </c>
      <c r="C29" s="32" t="s">
        <v>256</v>
      </c>
      <c r="D29" s="32" t="s">
        <v>11</v>
      </c>
      <c r="E29" t="s">
        <v>92</v>
      </c>
      <c r="F29">
        <v>216</v>
      </c>
      <c r="G29" s="33">
        <v>20341</v>
      </c>
      <c r="H29" s="33">
        <v>38790</v>
      </c>
      <c r="I29" s="23">
        <v>42684</v>
      </c>
      <c r="J29" t="s">
        <v>81</v>
      </c>
      <c r="K29" t="s">
        <v>82</v>
      </c>
      <c r="L29" s="32">
        <v>62745502153</v>
      </c>
      <c r="M29" s="32" t="s">
        <v>2339</v>
      </c>
      <c r="N29" s="32" t="s">
        <v>257</v>
      </c>
      <c r="O29">
        <v>110.59</v>
      </c>
      <c r="P29">
        <v>116.35</v>
      </c>
      <c r="Q29">
        <v>116.35</v>
      </c>
      <c r="R29" s="32">
        <v>20</v>
      </c>
      <c r="S29" s="32" t="s">
        <v>258</v>
      </c>
      <c r="T29" s="32"/>
      <c r="U29" t="s">
        <v>259</v>
      </c>
      <c r="V29" t="s">
        <v>260</v>
      </c>
      <c r="W29">
        <v>72104</v>
      </c>
      <c r="X29" t="s">
        <v>145</v>
      </c>
      <c r="Y29" t="s">
        <v>145</v>
      </c>
      <c r="Z29" t="s">
        <v>89</v>
      </c>
      <c r="AA29">
        <v>2113137074</v>
      </c>
      <c r="AC29" s="23">
        <v>43140</v>
      </c>
    </row>
    <row r="30" spans="1:29" hidden="1" x14ac:dyDescent="0.25">
      <c r="A30">
        <v>362</v>
      </c>
      <c r="B30" t="s">
        <v>9</v>
      </c>
      <c r="C30" s="32" t="s">
        <v>261</v>
      </c>
      <c r="D30" s="32" t="s">
        <v>11</v>
      </c>
      <c r="E30" t="s">
        <v>92</v>
      </c>
      <c r="F30">
        <v>251</v>
      </c>
      <c r="G30" s="33">
        <v>28553</v>
      </c>
      <c r="H30" s="33">
        <v>39024</v>
      </c>
      <c r="I30" s="23">
        <v>42684</v>
      </c>
      <c r="J30" t="s">
        <v>81</v>
      </c>
      <c r="K30" t="s">
        <v>82</v>
      </c>
      <c r="L30" s="32">
        <v>56967503428</v>
      </c>
      <c r="M30" s="32" t="s">
        <v>262</v>
      </c>
      <c r="N30" s="32" t="s">
        <v>263</v>
      </c>
      <c r="O30">
        <v>110.59</v>
      </c>
      <c r="P30">
        <v>116.19</v>
      </c>
      <c r="Q30">
        <v>116.19</v>
      </c>
      <c r="R30" s="32">
        <v>20</v>
      </c>
      <c r="T30" s="32"/>
      <c r="U30" t="s">
        <v>264</v>
      </c>
      <c r="V30" t="s">
        <v>265</v>
      </c>
      <c r="W30">
        <v>47295</v>
      </c>
      <c r="X30" t="s">
        <v>266</v>
      </c>
      <c r="Y30" t="s">
        <v>112</v>
      </c>
      <c r="Z30" t="s">
        <v>89</v>
      </c>
      <c r="AA30">
        <v>1408173024</v>
      </c>
      <c r="AC30" s="23">
        <v>43140</v>
      </c>
    </row>
    <row r="31" spans="1:29" hidden="1" x14ac:dyDescent="0.25">
      <c r="A31">
        <v>363</v>
      </c>
      <c r="B31" t="s">
        <v>9</v>
      </c>
      <c r="C31" s="32" t="s">
        <v>267</v>
      </c>
      <c r="D31" s="32" t="s">
        <v>11</v>
      </c>
      <c r="E31" t="s">
        <v>92</v>
      </c>
      <c r="F31">
        <v>653</v>
      </c>
      <c r="G31" s="33">
        <v>24822</v>
      </c>
      <c r="H31" s="33">
        <v>42314</v>
      </c>
      <c r="I31" s="23">
        <v>42684</v>
      </c>
      <c r="J31" t="s">
        <v>81</v>
      </c>
      <c r="K31" t="s">
        <v>82</v>
      </c>
      <c r="L31" s="32">
        <v>65866807137</v>
      </c>
      <c r="M31" s="32" t="s">
        <v>2340</v>
      </c>
      <c r="N31" s="32" t="s">
        <v>268</v>
      </c>
      <c r="O31">
        <v>110.59</v>
      </c>
      <c r="P31">
        <v>115.59</v>
      </c>
      <c r="Q31">
        <v>115.59</v>
      </c>
      <c r="R31" s="32">
        <v>20</v>
      </c>
      <c r="S31" s="32" t="s">
        <v>94</v>
      </c>
      <c r="T31" s="32">
        <v>2871114055</v>
      </c>
      <c r="U31" t="s">
        <v>269</v>
      </c>
      <c r="V31" t="s">
        <v>270</v>
      </c>
      <c r="W31">
        <v>68375</v>
      </c>
      <c r="X31" t="s">
        <v>271</v>
      </c>
      <c r="Y31" t="s">
        <v>271</v>
      </c>
      <c r="Z31" t="s">
        <v>89</v>
      </c>
      <c r="AC31" s="23">
        <v>43140</v>
      </c>
    </row>
    <row r="32" spans="1:29" hidden="1" x14ac:dyDescent="0.25">
      <c r="A32">
        <v>364</v>
      </c>
      <c r="B32" t="s">
        <v>9</v>
      </c>
      <c r="C32" s="32" t="s">
        <v>272</v>
      </c>
      <c r="D32" s="32" t="s">
        <v>11</v>
      </c>
      <c r="E32" t="s">
        <v>92</v>
      </c>
      <c r="F32">
        <v>494</v>
      </c>
      <c r="G32" s="33">
        <v>27999</v>
      </c>
      <c r="H32" s="33">
        <v>42193</v>
      </c>
      <c r="I32" s="23">
        <v>42684</v>
      </c>
      <c r="J32" t="s">
        <v>81</v>
      </c>
      <c r="K32" t="s">
        <v>82</v>
      </c>
      <c r="L32" s="32">
        <v>33947660628</v>
      </c>
      <c r="M32" s="32" t="s">
        <v>273</v>
      </c>
      <c r="N32" s="32" t="s">
        <v>274</v>
      </c>
      <c r="O32">
        <v>110.59</v>
      </c>
      <c r="P32">
        <v>115.59</v>
      </c>
      <c r="Q32">
        <v>115.59</v>
      </c>
      <c r="R32" s="32">
        <v>20</v>
      </c>
      <c r="T32" s="32"/>
      <c r="U32" t="s">
        <v>275</v>
      </c>
      <c r="V32" t="s">
        <v>276</v>
      </c>
      <c r="W32">
        <v>32696</v>
      </c>
      <c r="X32" t="s">
        <v>277</v>
      </c>
      <c r="Y32" t="s">
        <v>118</v>
      </c>
      <c r="Z32" t="s">
        <v>89</v>
      </c>
      <c r="AA32">
        <v>802092143</v>
      </c>
      <c r="AC32" s="23">
        <v>43140</v>
      </c>
    </row>
    <row r="33" spans="1:29" hidden="1" x14ac:dyDescent="0.25">
      <c r="A33">
        <v>365</v>
      </c>
      <c r="B33" t="s">
        <v>9</v>
      </c>
      <c r="C33" s="32" t="s">
        <v>278</v>
      </c>
      <c r="D33" s="32" t="s">
        <v>11</v>
      </c>
      <c r="F33">
        <v>462</v>
      </c>
      <c r="G33" s="33">
        <v>33092</v>
      </c>
      <c r="H33" s="33">
        <v>40932</v>
      </c>
      <c r="I33" s="23">
        <v>40932</v>
      </c>
      <c r="J33" t="s">
        <v>81</v>
      </c>
      <c r="K33" t="s">
        <v>82</v>
      </c>
      <c r="L33" s="32">
        <v>21099064871</v>
      </c>
      <c r="M33" s="32" t="s">
        <v>2341</v>
      </c>
      <c r="N33" s="32" t="s">
        <v>279</v>
      </c>
      <c r="O33">
        <v>110.59</v>
      </c>
      <c r="P33">
        <v>116.04</v>
      </c>
      <c r="Q33" t="s">
        <v>9</v>
      </c>
      <c r="R33" s="32">
        <v>17</v>
      </c>
      <c r="S33" s="32" t="s">
        <v>94</v>
      </c>
      <c r="T33" s="32" t="s">
        <v>280</v>
      </c>
      <c r="U33" t="s">
        <v>281</v>
      </c>
      <c r="V33" t="s">
        <v>282</v>
      </c>
      <c r="W33">
        <v>22101</v>
      </c>
      <c r="X33" t="s">
        <v>180</v>
      </c>
      <c r="Y33" t="s">
        <v>181</v>
      </c>
      <c r="Z33" t="s">
        <v>89</v>
      </c>
      <c r="AB33" t="s">
        <v>283</v>
      </c>
      <c r="AC33" s="23">
        <v>41978</v>
      </c>
    </row>
    <row r="34" spans="1:29" hidden="1" x14ac:dyDescent="0.25">
      <c r="A34">
        <v>366</v>
      </c>
      <c r="B34" t="s">
        <v>9</v>
      </c>
      <c r="C34" s="32" t="s">
        <v>284</v>
      </c>
      <c r="D34" s="32" t="s">
        <v>11</v>
      </c>
      <c r="F34">
        <v>603</v>
      </c>
      <c r="G34" s="33">
        <v>24874</v>
      </c>
      <c r="H34" s="33">
        <v>41964</v>
      </c>
      <c r="I34" s="23">
        <v>41964</v>
      </c>
      <c r="J34" t="s">
        <v>81</v>
      </c>
      <c r="K34" t="s">
        <v>82</v>
      </c>
      <c r="L34" s="32">
        <v>24856814934</v>
      </c>
      <c r="M34" s="32" t="s">
        <v>2342</v>
      </c>
      <c r="N34" s="32" t="s">
        <v>285</v>
      </c>
      <c r="O34">
        <v>167.65</v>
      </c>
      <c r="P34">
        <v>175.23</v>
      </c>
      <c r="Q34" t="s">
        <v>9</v>
      </c>
      <c r="R34" s="32">
        <v>7</v>
      </c>
      <c r="S34" s="32" t="s">
        <v>94</v>
      </c>
      <c r="T34" s="32" t="s">
        <v>286</v>
      </c>
      <c r="U34" t="s">
        <v>287</v>
      </c>
      <c r="V34" t="s">
        <v>288</v>
      </c>
      <c r="W34">
        <v>85199</v>
      </c>
      <c r="X34" t="s">
        <v>289</v>
      </c>
      <c r="Y34" t="s">
        <v>161</v>
      </c>
      <c r="Z34" t="s">
        <v>89</v>
      </c>
      <c r="AA34">
        <v>2609112462</v>
      </c>
      <c r="AB34" t="s">
        <v>290</v>
      </c>
      <c r="AC34" s="23">
        <v>42587</v>
      </c>
    </row>
    <row r="35" spans="1:29" hidden="1" x14ac:dyDescent="0.25">
      <c r="A35">
        <v>367</v>
      </c>
      <c r="B35" t="s">
        <v>9</v>
      </c>
      <c r="C35" s="32" t="s">
        <v>291</v>
      </c>
      <c r="D35" s="32" t="s">
        <v>11</v>
      </c>
      <c r="E35" t="s">
        <v>92</v>
      </c>
      <c r="F35">
        <v>166</v>
      </c>
      <c r="G35" s="33">
        <v>26068</v>
      </c>
      <c r="H35" s="33">
        <v>38397</v>
      </c>
      <c r="I35" s="23">
        <v>42684</v>
      </c>
      <c r="J35" t="s">
        <v>81</v>
      </c>
      <c r="K35" t="s">
        <v>82</v>
      </c>
      <c r="L35" s="32">
        <v>33867107360</v>
      </c>
      <c r="M35" s="32" t="s">
        <v>2343</v>
      </c>
      <c r="N35" s="32" t="s">
        <v>292</v>
      </c>
      <c r="O35">
        <v>199.02</v>
      </c>
      <c r="P35">
        <v>209.11</v>
      </c>
      <c r="Q35">
        <v>209.11</v>
      </c>
      <c r="R35" s="32">
        <v>20</v>
      </c>
      <c r="T35" s="32"/>
      <c r="U35" t="s">
        <v>293</v>
      </c>
      <c r="V35" t="s">
        <v>294</v>
      </c>
      <c r="W35">
        <v>32700</v>
      </c>
      <c r="X35" t="s">
        <v>117</v>
      </c>
      <c r="Y35" t="s">
        <v>118</v>
      </c>
      <c r="Z35" t="s">
        <v>89</v>
      </c>
      <c r="AA35">
        <v>802106524</v>
      </c>
      <c r="AC35" s="23">
        <v>43140</v>
      </c>
    </row>
    <row r="36" spans="1:29" hidden="1" x14ac:dyDescent="0.25">
      <c r="A36">
        <v>368</v>
      </c>
      <c r="B36" t="s">
        <v>9</v>
      </c>
      <c r="C36" s="32" t="s">
        <v>295</v>
      </c>
      <c r="D36" s="32" t="s">
        <v>11</v>
      </c>
      <c r="E36" t="s">
        <v>92</v>
      </c>
      <c r="F36">
        <v>42</v>
      </c>
      <c r="G36" s="33">
        <v>24464</v>
      </c>
      <c r="H36" s="33">
        <v>37803</v>
      </c>
      <c r="I36" s="23">
        <v>41621</v>
      </c>
      <c r="J36" t="s">
        <v>81</v>
      </c>
      <c r="K36" t="s">
        <v>82</v>
      </c>
      <c r="L36" s="32">
        <v>15836608503</v>
      </c>
      <c r="M36" s="32" t="s">
        <v>2344</v>
      </c>
      <c r="N36" s="32" t="s">
        <v>296</v>
      </c>
      <c r="O36">
        <v>110.59</v>
      </c>
      <c r="P36">
        <v>116.35</v>
      </c>
      <c r="Q36">
        <v>116.35</v>
      </c>
      <c r="R36" s="32">
        <v>20</v>
      </c>
      <c r="T36" s="32"/>
      <c r="U36" t="s">
        <v>297</v>
      </c>
      <c r="V36" t="s">
        <v>298</v>
      </c>
      <c r="W36">
        <v>62730</v>
      </c>
      <c r="X36" t="s">
        <v>299</v>
      </c>
      <c r="Y36" t="s">
        <v>230</v>
      </c>
      <c r="Z36" t="s">
        <v>89</v>
      </c>
      <c r="AB36" t="s">
        <v>300</v>
      </c>
      <c r="AC36" s="23">
        <v>43471</v>
      </c>
    </row>
    <row r="37" spans="1:29" hidden="1" x14ac:dyDescent="0.25">
      <c r="A37">
        <v>369</v>
      </c>
      <c r="B37" t="s">
        <v>9</v>
      </c>
      <c r="C37" s="32" t="s">
        <v>301</v>
      </c>
      <c r="D37" s="32" t="s">
        <v>11</v>
      </c>
      <c r="E37" t="s">
        <v>92</v>
      </c>
      <c r="F37">
        <v>398</v>
      </c>
      <c r="G37" s="33">
        <v>31267</v>
      </c>
      <c r="H37" s="33">
        <v>40107</v>
      </c>
      <c r="I37" s="23">
        <v>42684</v>
      </c>
      <c r="J37" t="s">
        <v>81</v>
      </c>
      <c r="K37" t="s">
        <v>82</v>
      </c>
      <c r="L37" s="32">
        <v>4008528525</v>
      </c>
      <c r="M37" s="32" t="s">
        <v>2345</v>
      </c>
      <c r="N37" s="32" t="s">
        <v>302</v>
      </c>
      <c r="O37">
        <v>223.07</v>
      </c>
      <c r="P37">
        <v>234.07</v>
      </c>
      <c r="Q37">
        <v>234.07</v>
      </c>
      <c r="R37" s="32">
        <v>20</v>
      </c>
      <c r="T37" s="32"/>
      <c r="U37" t="s">
        <v>303</v>
      </c>
      <c r="V37" t="s">
        <v>304</v>
      </c>
      <c r="W37">
        <v>44970</v>
      </c>
      <c r="X37" t="s">
        <v>111</v>
      </c>
      <c r="Y37" t="s">
        <v>112</v>
      </c>
      <c r="Z37" t="s">
        <v>89</v>
      </c>
      <c r="AA37">
        <v>1407412780</v>
      </c>
      <c r="AC37" s="23">
        <v>43140</v>
      </c>
    </row>
    <row r="38" spans="1:29" hidden="1" x14ac:dyDescent="0.25">
      <c r="A38">
        <v>370</v>
      </c>
      <c r="B38" t="s">
        <v>9</v>
      </c>
      <c r="C38" s="32" t="s">
        <v>305</v>
      </c>
      <c r="D38" s="32" t="s">
        <v>79</v>
      </c>
      <c r="E38" t="s">
        <v>92</v>
      </c>
      <c r="F38">
        <v>557</v>
      </c>
      <c r="G38" s="33">
        <v>20889</v>
      </c>
      <c r="H38" s="33">
        <v>41621</v>
      </c>
      <c r="I38" s="23">
        <v>41791</v>
      </c>
      <c r="J38" t="s">
        <v>81</v>
      </c>
      <c r="K38" t="s">
        <v>82</v>
      </c>
      <c r="L38" s="32">
        <v>1715610190</v>
      </c>
      <c r="M38" s="32" t="s">
        <v>2346</v>
      </c>
      <c r="N38" s="32" t="s">
        <v>306</v>
      </c>
      <c r="O38">
        <v>110.59</v>
      </c>
      <c r="P38">
        <v>115.59</v>
      </c>
      <c r="Q38">
        <v>0</v>
      </c>
      <c r="R38" s="32">
        <v>20</v>
      </c>
      <c r="S38" s="32" t="s">
        <v>94</v>
      </c>
      <c r="T38" s="32" t="s">
        <v>307</v>
      </c>
      <c r="U38" t="s">
        <v>308</v>
      </c>
      <c r="V38" t="s">
        <v>309</v>
      </c>
      <c r="W38">
        <v>54960</v>
      </c>
      <c r="X38" t="s">
        <v>310</v>
      </c>
      <c r="Y38" t="s">
        <v>223</v>
      </c>
      <c r="Z38" t="s">
        <v>89</v>
      </c>
      <c r="AB38" t="s">
        <v>311</v>
      </c>
      <c r="AC38" s="23">
        <v>43471</v>
      </c>
    </row>
    <row r="39" spans="1:29" hidden="1" x14ac:dyDescent="0.25">
      <c r="A39">
        <v>371</v>
      </c>
      <c r="B39" t="s">
        <v>9</v>
      </c>
      <c r="C39" s="32" t="s">
        <v>312</v>
      </c>
      <c r="D39" s="32" t="s">
        <v>11</v>
      </c>
      <c r="E39" t="s">
        <v>92</v>
      </c>
      <c r="F39">
        <v>352</v>
      </c>
      <c r="G39" s="33">
        <v>29604</v>
      </c>
      <c r="H39" s="33">
        <v>39772</v>
      </c>
      <c r="I39" s="23">
        <v>42684</v>
      </c>
      <c r="J39" t="s">
        <v>81</v>
      </c>
      <c r="K39" t="s">
        <v>82</v>
      </c>
      <c r="L39" s="32">
        <v>72018107606</v>
      </c>
      <c r="M39" s="32" t="s">
        <v>2347</v>
      </c>
      <c r="N39" s="32" t="s">
        <v>313</v>
      </c>
      <c r="O39">
        <v>110.59</v>
      </c>
      <c r="P39">
        <v>116.19</v>
      </c>
      <c r="Q39">
        <v>116.19</v>
      </c>
      <c r="R39" s="32">
        <v>20</v>
      </c>
      <c r="T39" s="32"/>
      <c r="U39" t="s">
        <v>314</v>
      </c>
      <c r="V39" t="s">
        <v>315</v>
      </c>
      <c r="W39">
        <v>39124</v>
      </c>
      <c r="X39" t="s">
        <v>316</v>
      </c>
      <c r="Y39" t="s">
        <v>193</v>
      </c>
      <c r="Z39" t="s">
        <v>89</v>
      </c>
      <c r="AA39">
        <v>2114016699</v>
      </c>
      <c r="AC39" s="23">
        <v>43140</v>
      </c>
    </row>
    <row r="40" spans="1:29" hidden="1" x14ac:dyDescent="0.25">
      <c r="A40">
        <v>372</v>
      </c>
      <c r="B40" t="s">
        <v>9</v>
      </c>
      <c r="C40" s="32" t="s">
        <v>317</v>
      </c>
      <c r="D40" s="32" t="s">
        <v>79</v>
      </c>
      <c r="E40" t="s">
        <v>92</v>
      </c>
      <c r="F40">
        <v>541</v>
      </c>
      <c r="G40" s="33">
        <v>32753</v>
      </c>
      <c r="H40" s="33">
        <v>41556</v>
      </c>
      <c r="I40" s="23">
        <v>41625</v>
      </c>
      <c r="J40" t="s">
        <v>81</v>
      </c>
      <c r="K40" t="s">
        <v>82</v>
      </c>
      <c r="L40" s="32">
        <v>13068902868</v>
      </c>
      <c r="M40" s="32" t="s">
        <v>2348</v>
      </c>
      <c r="N40" s="32" t="s">
        <v>318</v>
      </c>
      <c r="O40">
        <v>110.59</v>
      </c>
      <c r="P40">
        <v>115.74</v>
      </c>
      <c r="Q40">
        <v>0</v>
      </c>
      <c r="R40" s="32">
        <v>20</v>
      </c>
      <c r="S40" s="32" t="s">
        <v>204</v>
      </c>
      <c r="T40" s="32" t="s">
        <v>319</v>
      </c>
      <c r="U40" t="s">
        <v>320</v>
      </c>
      <c r="V40" t="s">
        <v>321</v>
      </c>
      <c r="W40">
        <v>54680</v>
      </c>
      <c r="X40" t="s">
        <v>322</v>
      </c>
      <c r="Y40" t="s">
        <v>223</v>
      </c>
      <c r="Z40" t="s">
        <v>89</v>
      </c>
      <c r="AB40" t="s">
        <v>323</v>
      </c>
      <c r="AC40" s="23">
        <v>43042</v>
      </c>
    </row>
    <row r="41" spans="1:29" hidden="1" x14ac:dyDescent="0.25">
      <c r="A41">
        <v>373</v>
      </c>
      <c r="B41" t="s">
        <v>9</v>
      </c>
      <c r="C41" s="32" t="s">
        <v>324</v>
      </c>
      <c r="D41" s="32" t="s">
        <v>11</v>
      </c>
      <c r="F41">
        <v>223</v>
      </c>
      <c r="G41" s="33">
        <v>18390</v>
      </c>
      <c r="H41" s="33">
        <v>38902</v>
      </c>
      <c r="I41" s="23">
        <v>38917</v>
      </c>
      <c r="J41" t="s">
        <v>81</v>
      </c>
      <c r="K41" t="s">
        <v>82</v>
      </c>
      <c r="L41" s="32">
        <v>33675011275</v>
      </c>
      <c r="M41" s="32" t="s">
        <v>2349</v>
      </c>
      <c r="N41" s="32" t="s">
        <v>325</v>
      </c>
      <c r="O41">
        <v>110.59</v>
      </c>
      <c r="P41">
        <v>116.35</v>
      </c>
      <c r="Q41" t="s">
        <v>9</v>
      </c>
      <c r="R41" s="32">
        <v>19</v>
      </c>
      <c r="T41" s="32"/>
      <c r="U41" t="s">
        <v>326</v>
      </c>
      <c r="V41" t="s">
        <v>327</v>
      </c>
      <c r="W41">
        <v>31100</v>
      </c>
      <c r="X41" t="s">
        <v>118</v>
      </c>
      <c r="Y41" t="s">
        <v>118</v>
      </c>
      <c r="Z41" t="s">
        <v>89</v>
      </c>
      <c r="AC41" s="23">
        <v>42684</v>
      </c>
    </row>
    <row r="42" spans="1:29" hidden="1" x14ac:dyDescent="0.25">
      <c r="A42">
        <v>374</v>
      </c>
      <c r="B42" t="s">
        <v>9</v>
      </c>
      <c r="C42" s="32" t="s">
        <v>328</v>
      </c>
      <c r="D42" s="32" t="s">
        <v>11</v>
      </c>
      <c r="E42" t="s">
        <v>92</v>
      </c>
      <c r="F42">
        <v>464</v>
      </c>
      <c r="G42" s="33">
        <v>24498</v>
      </c>
      <c r="H42" s="33">
        <v>40948</v>
      </c>
      <c r="I42" s="23">
        <v>41791</v>
      </c>
      <c r="J42" t="s">
        <v>81</v>
      </c>
      <c r="K42" t="s">
        <v>82</v>
      </c>
      <c r="L42" s="32">
        <v>13826601372</v>
      </c>
      <c r="M42" s="32" t="s">
        <v>2350</v>
      </c>
      <c r="N42" s="32" t="s">
        <v>329</v>
      </c>
      <c r="O42">
        <v>110.59</v>
      </c>
      <c r="P42">
        <v>116.04</v>
      </c>
      <c r="Q42">
        <v>116.04</v>
      </c>
      <c r="R42" s="32">
        <v>20</v>
      </c>
      <c r="S42" s="32" t="s">
        <v>94</v>
      </c>
      <c r="T42" s="32" t="s">
        <v>330</v>
      </c>
      <c r="U42" t="s">
        <v>331</v>
      </c>
      <c r="V42" t="s">
        <v>332</v>
      </c>
      <c r="W42">
        <v>42980</v>
      </c>
      <c r="X42" t="s">
        <v>333</v>
      </c>
      <c r="Y42" t="s">
        <v>133</v>
      </c>
      <c r="Z42" t="s">
        <v>89</v>
      </c>
      <c r="AB42" t="s">
        <v>334</v>
      </c>
      <c r="AC42" s="23">
        <v>43471</v>
      </c>
    </row>
    <row r="43" spans="1:29" hidden="1" x14ac:dyDescent="0.25">
      <c r="A43">
        <v>375</v>
      </c>
      <c r="B43" t="s">
        <v>9</v>
      </c>
      <c r="C43" s="32" t="s">
        <v>335</v>
      </c>
      <c r="D43" s="32" t="s">
        <v>11</v>
      </c>
      <c r="F43">
        <v>316</v>
      </c>
      <c r="G43" s="33">
        <v>23803</v>
      </c>
      <c r="H43" s="33">
        <v>39472</v>
      </c>
      <c r="I43" s="23">
        <v>39486</v>
      </c>
      <c r="J43" t="s">
        <v>81</v>
      </c>
      <c r="K43" t="s">
        <v>82</v>
      </c>
      <c r="L43" s="32">
        <v>67826508599</v>
      </c>
      <c r="M43" s="32" t="s">
        <v>2351</v>
      </c>
      <c r="N43" s="32" t="s">
        <v>336</v>
      </c>
      <c r="O43">
        <v>110.59</v>
      </c>
      <c r="P43">
        <v>116.19</v>
      </c>
      <c r="Q43" t="s">
        <v>9</v>
      </c>
      <c r="R43" s="32">
        <v>20</v>
      </c>
      <c r="T43" s="32"/>
      <c r="U43" t="s">
        <v>337</v>
      </c>
      <c r="V43" t="s">
        <v>338</v>
      </c>
      <c r="W43">
        <v>68443</v>
      </c>
      <c r="X43" t="s">
        <v>339</v>
      </c>
      <c r="Y43" t="s">
        <v>271</v>
      </c>
      <c r="Z43" t="s">
        <v>89</v>
      </c>
      <c r="AA43">
        <v>2008008046</v>
      </c>
      <c r="AC43" s="23">
        <v>42684</v>
      </c>
    </row>
    <row r="44" spans="1:29" hidden="1" x14ac:dyDescent="0.25">
      <c r="A44">
        <v>376</v>
      </c>
      <c r="B44" t="s">
        <v>9</v>
      </c>
      <c r="C44" s="32" t="s">
        <v>340</v>
      </c>
      <c r="D44" s="32" t="s">
        <v>11</v>
      </c>
      <c r="F44">
        <v>498</v>
      </c>
      <c r="G44" s="33">
        <v>25707</v>
      </c>
      <c r="H44" s="33">
        <v>41222</v>
      </c>
      <c r="I44" s="23">
        <v>41222</v>
      </c>
      <c r="J44" t="s">
        <v>81</v>
      </c>
      <c r="K44" t="s">
        <v>82</v>
      </c>
      <c r="L44" s="32">
        <v>78947025199</v>
      </c>
      <c r="M44" s="32" t="s">
        <v>2352</v>
      </c>
      <c r="N44" s="32" t="s">
        <v>341</v>
      </c>
      <c r="O44">
        <v>110.59</v>
      </c>
      <c r="P44">
        <v>115.74</v>
      </c>
      <c r="Q44" t="s">
        <v>9</v>
      </c>
      <c r="R44" s="32">
        <v>20</v>
      </c>
      <c r="T44" s="32" t="s">
        <v>342</v>
      </c>
      <c r="U44" t="s">
        <v>343</v>
      </c>
      <c r="V44" t="s">
        <v>344</v>
      </c>
      <c r="W44">
        <v>68330</v>
      </c>
      <c r="X44" t="s">
        <v>270</v>
      </c>
      <c r="Y44" t="s">
        <v>271</v>
      </c>
      <c r="Z44" t="s">
        <v>89</v>
      </c>
      <c r="AC44" s="23">
        <v>42684</v>
      </c>
    </row>
    <row r="45" spans="1:29" hidden="1" x14ac:dyDescent="0.25">
      <c r="A45">
        <v>377</v>
      </c>
      <c r="B45" t="s">
        <v>9</v>
      </c>
      <c r="C45" s="32" t="s">
        <v>345</v>
      </c>
      <c r="D45" s="32" t="s">
        <v>79</v>
      </c>
      <c r="E45" t="s">
        <v>92</v>
      </c>
      <c r="F45">
        <v>604</v>
      </c>
      <c r="G45" s="33">
        <v>24359</v>
      </c>
      <c r="H45" s="33">
        <v>41971</v>
      </c>
      <c r="I45" s="23">
        <v>43064</v>
      </c>
      <c r="J45" t="s">
        <v>81</v>
      </c>
      <c r="K45" t="s">
        <v>82</v>
      </c>
      <c r="L45" s="32">
        <v>78826604841</v>
      </c>
      <c r="M45" s="32" t="s">
        <v>2353</v>
      </c>
      <c r="N45" s="32" t="s">
        <v>346</v>
      </c>
      <c r="O45">
        <v>110.59</v>
      </c>
      <c r="P45">
        <v>115.59</v>
      </c>
      <c r="Q45">
        <v>0</v>
      </c>
      <c r="R45" s="32">
        <v>20</v>
      </c>
      <c r="S45" s="32" t="s">
        <v>94</v>
      </c>
      <c r="T45" s="32"/>
      <c r="U45" t="s">
        <v>347</v>
      </c>
      <c r="V45" t="s">
        <v>179</v>
      </c>
      <c r="W45">
        <v>90200</v>
      </c>
      <c r="X45" t="s">
        <v>348</v>
      </c>
      <c r="Y45" t="s">
        <v>349</v>
      </c>
      <c r="Z45" t="s">
        <v>89</v>
      </c>
      <c r="AA45">
        <v>2900014700</v>
      </c>
      <c r="AB45" t="s">
        <v>350</v>
      </c>
      <c r="AC45" s="23">
        <v>43471</v>
      </c>
    </row>
    <row r="46" spans="1:29" hidden="1" x14ac:dyDescent="0.25">
      <c r="A46">
        <v>378</v>
      </c>
      <c r="B46" t="s">
        <v>9</v>
      </c>
      <c r="C46" s="32" t="s">
        <v>351</v>
      </c>
      <c r="D46" s="32" t="s">
        <v>11</v>
      </c>
      <c r="F46">
        <v>468</v>
      </c>
      <c r="G46" s="33">
        <v>23775</v>
      </c>
      <c r="H46" s="33">
        <v>40989</v>
      </c>
      <c r="I46" s="23">
        <v>40991</v>
      </c>
      <c r="J46" t="s">
        <v>81</v>
      </c>
      <c r="K46" t="s">
        <v>82</v>
      </c>
      <c r="L46" s="32">
        <v>33836534595</v>
      </c>
      <c r="M46" s="32" t="s">
        <v>2354</v>
      </c>
      <c r="N46" s="32" t="s">
        <v>352</v>
      </c>
      <c r="O46">
        <v>110.59</v>
      </c>
      <c r="P46">
        <v>116.04</v>
      </c>
      <c r="Q46" t="s">
        <v>9</v>
      </c>
      <c r="R46" s="32">
        <v>19</v>
      </c>
      <c r="S46" s="32" t="s">
        <v>94</v>
      </c>
      <c r="T46" s="32" t="s">
        <v>353</v>
      </c>
      <c r="U46" t="s">
        <v>354</v>
      </c>
      <c r="V46" t="s">
        <v>355</v>
      </c>
      <c r="W46">
        <v>32121</v>
      </c>
      <c r="X46" t="s">
        <v>117</v>
      </c>
      <c r="Y46" t="s">
        <v>118</v>
      </c>
      <c r="Z46" t="s">
        <v>89</v>
      </c>
      <c r="AB46" t="s">
        <v>356</v>
      </c>
      <c r="AC46" s="23">
        <v>41909</v>
      </c>
    </row>
    <row r="47" spans="1:29" hidden="1" x14ac:dyDescent="0.25">
      <c r="A47">
        <v>379</v>
      </c>
      <c r="B47" t="s">
        <v>9</v>
      </c>
      <c r="C47" s="32" t="s">
        <v>357</v>
      </c>
      <c r="D47" s="32" t="s">
        <v>79</v>
      </c>
      <c r="E47" t="s">
        <v>202</v>
      </c>
      <c r="F47">
        <v>338</v>
      </c>
      <c r="G47" s="33">
        <v>26922</v>
      </c>
      <c r="H47" s="33">
        <v>39689</v>
      </c>
      <c r="I47" s="23">
        <v>41450</v>
      </c>
      <c r="J47" t="s">
        <v>81</v>
      </c>
      <c r="K47" t="s">
        <v>82</v>
      </c>
      <c r="L47" s="32">
        <v>20947308613</v>
      </c>
      <c r="M47" s="32" t="s">
        <v>2355</v>
      </c>
      <c r="N47" s="32" t="s">
        <v>358</v>
      </c>
      <c r="O47">
        <v>110.59</v>
      </c>
      <c r="P47">
        <v>116.19</v>
      </c>
      <c r="Q47">
        <v>115.59</v>
      </c>
      <c r="R47" s="32">
        <v>20</v>
      </c>
      <c r="S47" s="32" t="s">
        <v>94</v>
      </c>
      <c r="T47" s="32"/>
      <c r="U47" t="s">
        <v>359</v>
      </c>
      <c r="V47" t="s">
        <v>360</v>
      </c>
      <c r="W47">
        <v>55060</v>
      </c>
      <c r="X47" t="s">
        <v>240</v>
      </c>
      <c r="Y47" t="s">
        <v>223</v>
      </c>
      <c r="Z47" t="s">
        <v>89</v>
      </c>
      <c r="AB47" t="s">
        <v>361</v>
      </c>
      <c r="AC47" s="23">
        <v>42901</v>
      </c>
    </row>
    <row r="48" spans="1:29" hidden="1" x14ac:dyDescent="0.25">
      <c r="A48">
        <v>380</v>
      </c>
      <c r="B48" t="s">
        <v>9</v>
      </c>
      <c r="C48" s="32" t="s">
        <v>362</v>
      </c>
      <c r="D48" s="32" t="s">
        <v>11</v>
      </c>
      <c r="E48" t="s">
        <v>92</v>
      </c>
      <c r="F48">
        <v>482</v>
      </c>
      <c r="G48" s="33">
        <v>23207</v>
      </c>
      <c r="H48" s="33">
        <v>41246</v>
      </c>
      <c r="I48" s="23">
        <v>41951</v>
      </c>
      <c r="J48" t="s">
        <v>81</v>
      </c>
      <c r="K48" t="s">
        <v>82</v>
      </c>
      <c r="L48" s="32">
        <v>16846300545</v>
      </c>
      <c r="M48" s="32" t="s">
        <v>2356</v>
      </c>
      <c r="N48" s="32" t="s">
        <v>363</v>
      </c>
      <c r="O48">
        <v>110.59</v>
      </c>
      <c r="P48">
        <v>115.74</v>
      </c>
      <c r="Q48">
        <v>115.74</v>
      </c>
      <c r="R48" s="32">
        <v>20</v>
      </c>
      <c r="S48" s="32" t="s">
        <v>94</v>
      </c>
      <c r="T48" s="32" t="s">
        <v>364</v>
      </c>
      <c r="U48" t="s">
        <v>365</v>
      </c>
      <c r="V48" t="s">
        <v>366</v>
      </c>
      <c r="W48">
        <v>55736</v>
      </c>
      <c r="X48" t="s">
        <v>367</v>
      </c>
      <c r="Y48" t="s">
        <v>88</v>
      </c>
      <c r="Z48" t="s">
        <v>89</v>
      </c>
      <c r="AB48" t="s">
        <v>368</v>
      </c>
      <c r="AC48" s="23">
        <v>43471</v>
      </c>
    </row>
    <row r="49" spans="1:29" hidden="1" x14ac:dyDescent="0.25">
      <c r="A49">
        <v>381</v>
      </c>
      <c r="B49" t="s">
        <v>9</v>
      </c>
      <c r="C49" s="32" t="s">
        <v>369</v>
      </c>
      <c r="D49" s="32" t="s">
        <v>79</v>
      </c>
      <c r="E49" t="s">
        <v>92</v>
      </c>
      <c r="F49">
        <v>374</v>
      </c>
      <c r="G49" s="33">
        <v>27123</v>
      </c>
      <c r="H49" s="33">
        <v>39899</v>
      </c>
      <c r="I49" s="23">
        <v>42684</v>
      </c>
      <c r="J49" t="s">
        <v>81</v>
      </c>
      <c r="K49" t="s">
        <v>82</v>
      </c>
      <c r="L49" s="32">
        <v>96937439477</v>
      </c>
      <c r="M49" s="32" t="s">
        <v>2357</v>
      </c>
      <c r="N49" s="32" t="s">
        <v>370</v>
      </c>
      <c r="O49">
        <v>110.59</v>
      </c>
      <c r="P49">
        <v>116.19</v>
      </c>
      <c r="Q49">
        <v>116.19</v>
      </c>
      <c r="R49" s="32">
        <v>20</v>
      </c>
      <c r="T49" s="32"/>
      <c r="U49" t="s">
        <v>371</v>
      </c>
      <c r="V49" t="s">
        <v>372</v>
      </c>
      <c r="W49">
        <v>56240</v>
      </c>
      <c r="X49" t="s">
        <v>373</v>
      </c>
      <c r="Y49" t="s">
        <v>223</v>
      </c>
      <c r="Z49" t="s">
        <v>89</v>
      </c>
      <c r="AA49">
        <v>6515073654</v>
      </c>
      <c r="AC49" s="23">
        <v>43701</v>
      </c>
    </row>
    <row r="50" spans="1:29" hidden="1" x14ac:dyDescent="0.25">
      <c r="A50">
        <v>382</v>
      </c>
      <c r="B50" t="s">
        <v>9</v>
      </c>
      <c r="C50" s="32" t="s">
        <v>374</v>
      </c>
      <c r="D50" s="32" t="s">
        <v>11</v>
      </c>
      <c r="F50">
        <v>490</v>
      </c>
      <c r="G50" s="33">
        <v>27756</v>
      </c>
      <c r="H50" s="33">
        <v>41206</v>
      </c>
      <c r="I50" s="23">
        <v>41206</v>
      </c>
      <c r="J50" t="s">
        <v>81</v>
      </c>
      <c r="K50" t="s">
        <v>82</v>
      </c>
      <c r="L50" s="32">
        <v>33917509631</v>
      </c>
      <c r="M50" s="32" t="s">
        <v>2358</v>
      </c>
      <c r="N50" s="32" t="s">
        <v>375</v>
      </c>
      <c r="O50">
        <v>110.59</v>
      </c>
      <c r="P50">
        <v>115.89</v>
      </c>
      <c r="Q50" t="s">
        <v>9</v>
      </c>
      <c r="R50" s="32">
        <v>19</v>
      </c>
      <c r="S50" s="32" t="s">
        <v>94</v>
      </c>
      <c r="T50" s="32" t="s">
        <v>376</v>
      </c>
      <c r="U50" t="s">
        <v>377</v>
      </c>
      <c r="V50" t="s">
        <v>378</v>
      </c>
      <c r="W50">
        <v>32600</v>
      </c>
      <c r="X50" t="s">
        <v>117</v>
      </c>
      <c r="Y50" t="s">
        <v>118</v>
      </c>
      <c r="Z50" t="s">
        <v>89</v>
      </c>
      <c r="AA50">
        <v>806384068</v>
      </c>
      <c r="AB50" t="s">
        <v>379</v>
      </c>
      <c r="AC50" s="23">
        <v>41834</v>
      </c>
    </row>
    <row r="51" spans="1:29" hidden="1" x14ac:dyDescent="0.25">
      <c r="A51">
        <v>383</v>
      </c>
      <c r="B51" t="s">
        <v>9</v>
      </c>
      <c r="C51" s="32" t="s">
        <v>380</v>
      </c>
      <c r="D51" s="32" t="s">
        <v>79</v>
      </c>
      <c r="E51" t="s">
        <v>92</v>
      </c>
      <c r="F51">
        <v>481</v>
      </c>
      <c r="G51" s="33">
        <v>26476</v>
      </c>
      <c r="H51" s="33">
        <v>42314</v>
      </c>
      <c r="I51" s="23">
        <v>42070</v>
      </c>
      <c r="J51" t="s">
        <v>81</v>
      </c>
      <c r="K51" t="s">
        <v>82</v>
      </c>
      <c r="L51" s="32">
        <v>92887225495</v>
      </c>
      <c r="M51" s="32" t="s">
        <v>381</v>
      </c>
      <c r="N51" s="32" t="s">
        <v>382</v>
      </c>
      <c r="O51">
        <v>110.59</v>
      </c>
      <c r="P51">
        <v>115.59</v>
      </c>
      <c r="Q51">
        <v>0</v>
      </c>
      <c r="R51" s="32">
        <v>20</v>
      </c>
      <c r="S51" s="32" t="s">
        <v>94</v>
      </c>
      <c r="T51" s="32">
        <v>5524143129</v>
      </c>
      <c r="U51" t="s">
        <v>383</v>
      </c>
      <c r="V51" t="s">
        <v>384</v>
      </c>
      <c r="W51">
        <v>54680</v>
      </c>
      <c r="X51" t="s">
        <v>322</v>
      </c>
      <c r="Y51" t="s">
        <v>88</v>
      </c>
      <c r="Z51" t="s">
        <v>89</v>
      </c>
      <c r="AB51" t="s">
        <v>385</v>
      </c>
      <c r="AC51" s="23">
        <v>43471</v>
      </c>
    </row>
    <row r="52" spans="1:29" hidden="1" x14ac:dyDescent="0.25">
      <c r="A52">
        <v>384</v>
      </c>
      <c r="B52" t="s">
        <v>9</v>
      </c>
      <c r="C52" s="32" t="s">
        <v>386</v>
      </c>
      <c r="D52" s="32" t="s">
        <v>79</v>
      </c>
      <c r="E52" t="s">
        <v>80</v>
      </c>
      <c r="F52">
        <v>610</v>
      </c>
      <c r="G52" s="33">
        <v>28436</v>
      </c>
      <c r="H52" s="33">
        <v>41978</v>
      </c>
      <c r="I52" s="23">
        <v>43471</v>
      </c>
      <c r="J52" t="s">
        <v>81</v>
      </c>
      <c r="K52" t="s">
        <v>82</v>
      </c>
      <c r="L52" s="32">
        <v>2957702794</v>
      </c>
      <c r="M52" s="32" t="s">
        <v>2359</v>
      </c>
      <c r="N52" s="32" t="s">
        <v>387</v>
      </c>
      <c r="O52">
        <v>110.59</v>
      </c>
      <c r="P52">
        <v>115.59</v>
      </c>
      <c r="Q52">
        <v>115.59</v>
      </c>
      <c r="R52" s="32">
        <v>20</v>
      </c>
      <c r="S52" s="32" t="s">
        <v>94</v>
      </c>
      <c r="T52" s="32" t="s">
        <v>388</v>
      </c>
      <c r="U52" t="s">
        <v>389</v>
      </c>
      <c r="V52" t="s">
        <v>390</v>
      </c>
      <c r="W52">
        <v>97370</v>
      </c>
      <c r="X52" t="s">
        <v>391</v>
      </c>
      <c r="Y52" t="s">
        <v>392</v>
      </c>
      <c r="Z52" t="s">
        <v>89</v>
      </c>
      <c r="AA52">
        <v>3106044119</v>
      </c>
      <c r="AB52" t="s">
        <v>393</v>
      </c>
      <c r="AC52" s="23">
        <v>43452</v>
      </c>
    </row>
    <row r="53" spans="1:29" hidden="1" x14ac:dyDescent="0.25">
      <c r="A53">
        <v>385</v>
      </c>
      <c r="B53" t="s">
        <v>9</v>
      </c>
      <c r="C53" s="32" t="s">
        <v>394</v>
      </c>
      <c r="D53" s="32" t="s">
        <v>11</v>
      </c>
      <c r="F53">
        <v>69</v>
      </c>
      <c r="G53" s="33">
        <v>27449</v>
      </c>
      <c r="H53" s="33">
        <v>36770</v>
      </c>
      <c r="I53" s="23">
        <v>36914</v>
      </c>
      <c r="J53" t="s">
        <v>81</v>
      </c>
      <c r="K53" t="s">
        <v>82</v>
      </c>
      <c r="L53" s="32">
        <v>50917539665</v>
      </c>
      <c r="M53" s="32" t="s">
        <v>2360</v>
      </c>
      <c r="N53" s="32" t="s">
        <v>395</v>
      </c>
      <c r="O53">
        <v>110.59</v>
      </c>
      <c r="P53">
        <v>116.5</v>
      </c>
      <c r="Q53" t="s">
        <v>9</v>
      </c>
      <c r="R53" s="32">
        <v>19</v>
      </c>
      <c r="S53" s="32" t="s">
        <v>94</v>
      </c>
      <c r="T53" s="32"/>
      <c r="U53" t="s">
        <v>396</v>
      </c>
      <c r="V53" t="s">
        <v>397</v>
      </c>
      <c r="W53">
        <v>31134</v>
      </c>
      <c r="X53" t="s">
        <v>118</v>
      </c>
      <c r="Y53" t="s">
        <v>118</v>
      </c>
      <c r="Z53" t="s">
        <v>89</v>
      </c>
      <c r="AA53">
        <v>808048817</v>
      </c>
      <c r="AC53" s="23">
        <v>42684</v>
      </c>
    </row>
    <row r="54" spans="1:29" hidden="1" x14ac:dyDescent="0.25">
      <c r="A54">
        <v>386</v>
      </c>
      <c r="B54" t="s">
        <v>9</v>
      </c>
      <c r="C54" s="32" t="s">
        <v>398</v>
      </c>
      <c r="D54" s="32" t="s">
        <v>11</v>
      </c>
      <c r="E54" t="s">
        <v>92</v>
      </c>
      <c r="F54">
        <v>531</v>
      </c>
      <c r="G54" s="33">
        <v>27916</v>
      </c>
      <c r="H54" s="33">
        <v>41456</v>
      </c>
      <c r="I54" s="23">
        <v>41948</v>
      </c>
      <c r="J54" t="s">
        <v>81</v>
      </c>
      <c r="K54" t="s">
        <v>82</v>
      </c>
      <c r="L54" s="32">
        <v>78967015211</v>
      </c>
      <c r="M54" s="32" t="s">
        <v>2361</v>
      </c>
      <c r="N54" s="32" t="s">
        <v>399</v>
      </c>
      <c r="O54">
        <v>110.59</v>
      </c>
      <c r="P54">
        <v>115.89</v>
      </c>
      <c r="Q54">
        <v>115.89</v>
      </c>
      <c r="R54" s="32">
        <v>20</v>
      </c>
      <c r="S54" s="32" t="s">
        <v>94</v>
      </c>
      <c r="T54" s="32">
        <v>9222204939</v>
      </c>
      <c r="U54" t="s">
        <v>400</v>
      </c>
      <c r="V54" t="s">
        <v>401</v>
      </c>
      <c r="W54">
        <v>68325</v>
      </c>
      <c r="X54" t="s">
        <v>339</v>
      </c>
      <c r="Y54" t="s">
        <v>271</v>
      </c>
      <c r="Z54" t="s">
        <v>89</v>
      </c>
      <c r="AB54" t="s">
        <v>402</v>
      </c>
      <c r="AC54" s="23">
        <v>43471</v>
      </c>
    </row>
    <row r="55" spans="1:29" hidden="1" x14ac:dyDescent="0.25">
      <c r="A55">
        <v>387</v>
      </c>
      <c r="B55" t="s">
        <v>9</v>
      </c>
      <c r="C55" s="32" t="s">
        <v>403</v>
      </c>
      <c r="D55" s="32" t="s">
        <v>11</v>
      </c>
      <c r="F55">
        <v>72</v>
      </c>
      <c r="G55" s="33">
        <v>27500</v>
      </c>
      <c r="H55" s="33">
        <v>37926</v>
      </c>
      <c r="I55" s="23">
        <v>37994</v>
      </c>
      <c r="J55" t="s">
        <v>81</v>
      </c>
      <c r="K55" t="s">
        <v>82</v>
      </c>
      <c r="L55" s="32">
        <v>24917595498</v>
      </c>
      <c r="M55" s="32" t="s">
        <v>1016</v>
      </c>
      <c r="N55" s="32" t="s">
        <v>404</v>
      </c>
      <c r="O55">
        <v>110.59</v>
      </c>
      <c r="P55">
        <v>116.35</v>
      </c>
      <c r="Q55" t="s">
        <v>9</v>
      </c>
      <c r="R55" s="32">
        <v>23</v>
      </c>
      <c r="T55" s="32"/>
      <c r="U55" t="s">
        <v>405</v>
      </c>
      <c r="V55" t="s">
        <v>406</v>
      </c>
      <c r="W55">
        <v>84000</v>
      </c>
      <c r="X55" t="s">
        <v>160</v>
      </c>
      <c r="Y55" t="s">
        <v>161</v>
      </c>
      <c r="Z55" t="s">
        <v>89</v>
      </c>
      <c r="AA55">
        <v>2611147938</v>
      </c>
      <c r="AC55" s="23">
        <v>42684</v>
      </c>
    </row>
    <row r="56" spans="1:29" hidden="1" x14ac:dyDescent="0.25">
      <c r="A56">
        <v>388</v>
      </c>
      <c r="B56" t="s">
        <v>9</v>
      </c>
      <c r="C56" s="32" t="s">
        <v>407</v>
      </c>
      <c r="D56" s="32" t="s">
        <v>11</v>
      </c>
      <c r="F56">
        <v>73</v>
      </c>
      <c r="G56" s="33">
        <v>20801</v>
      </c>
      <c r="H56" s="33">
        <v>37272</v>
      </c>
      <c r="I56" s="23">
        <v>37553</v>
      </c>
      <c r="J56" t="s">
        <v>81</v>
      </c>
      <c r="K56" t="s">
        <v>82</v>
      </c>
      <c r="L56" s="32">
        <v>55785603493</v>
      </c>
      <c r="M56" s="32" t="s">
        <v>2362</v>
      </c>
      <c r="N56" s="32" t="s">
        <v>408</v>
      </c>
      <c r="O56">
        <v>110.59</v>
      </c>
      <c r="P56">
        <v>116.35</v>
      </c>
      <c r="Q56" t="s">
        <v>9</v>
      </c>
      <c r="R56" s="32">
        <v>17</v>
      </c>
      <c r="T56" s="32"/>
      <c r="U56" t="s">
        <v>409</v>
      </c>
      <c r="V56" t="s">
        <v>410</v>
      </c>
      <c r="W56">
        <v>22237</v>
      </c>
      <c r="X56" t="s">
        <v>180</v>
      </c>
      <c r="Y56" t="s">
        <v>411</v>
      </c>
      <c r="Z56" t="s">
        <v>89</v>
      </c>
      <c r="AC56" s="23">
        <v>42684</v>
      </c>
    </row>
    <row r="57" spans="1:29" hidden="1" x14ac:dyDescent="0.25">
      <c r="A57">
        <v>389</v>
      </c>
      <c r="B57" t="s">
        <v>9</v>
      </c>
      <c r="C57" s="32" t="s">
        <v>412</v>
      </c>
      <c r="D57" s="32" t="s">
        <v>79</v>
      </c>
      <c r="E57" t="s">
        <v>80</v>
      </c>
      <c r="F57">
        <v>430</v>
      </c>
      <c r="G57" s="33">
        <v>24469</v>
      </c>
      <c r="H57" s="33">
        <v>41214</v>
      </c>
      <c r="I57" s="23">
        <v>41915</v>
      </c>
      <c r="J57" t="s">
        <v>81</v>
      </c>
      <c r="K57" t="s">
        <v>82</v>
      </c>
      <c r="L57" s="32">
        <v>23916625710</v>
      </c>
      <c r="M57" s="32" t="s">
        <v>2363</v>
      </c>
      <c r="N57" s="32" t="s">
        <v>413</v>
      </c>
      <c r="O57">
        <v>117.6</v>
      </c>
      <c r="P57">
        <v>122.92</v>
      </c>
      <c r="Q57">
        <v>122.92</v>
      </c>
      <c r="R57" s="32">
        <v>7</v>
      </c>
      <c r="T57" s="32" t="s">
        <v>414</v>
      </c>
      <c r="U57" t="s">
        <v>415</v>
      </c>
      <c r="V57" t="s">
        <v>416</v>
      </c>
      <c r="W57">
        <v>21270</v>
      </c>
      <c r="X57" t="s">
        <v>417</v>
      </c>
      <c r="Y57" t="s">
        <v>153</v>
      </c>
      <c r="Z57" t="s">
        <v>89</v>
      </c>
      <c r="AA57">
        <v>9725204223</v>
      </c>
      <c r="AB57" t="s">
        <v>418</v>
      </c>
      <c r="AC57" s="23">
        <v>43452</v>
      </c>
    </row>
    <row r="58" spans="1:29" hidden="1" x14ac:dyDescent="0.25">
      <c r="A58">
        <v>390</v>
      </c>
      <c r="B58" t="s">
        <v>9</v>
      </c>
      <c r="C58" s="32" t="s">
        <v>419</v>
      </c>
      <c r="D58" s="32" t="s">
        <v>11</v>
      </c>
      <c r="F58">
        <v>645</v>
      </c>
      <c r="G58" s="33">
        <v>27577</v>
      </c>
      <c r="H58" s="33">
        <v>42237</v>
      </c>
      <c r="I58" s="23">
        <v>42237</v>
      </c>
      <c r="J58" t="s">
        <v>81</v>
      </c>
      <c r="K58" t="s">
        <v>82</v>
      </c>
      <c r="L58" s="32">
        <v>67947502315</v>
      </c>
      <c r="M58" s="32" t="s">
        <v>2364</v>
      </c>
      <c r="N58" s="32" t="s">
        <v>420</v>
      </c>
      <c r="O58">
        <v>110.59</v>
      </c>
      <c r="P58">
        <v>115.59</v>
      </c>
      <c r="Q58" t="s">
        <v>9</v>
      </c>
      <c r="R58" s="32">
        <v>20</v>
      </c>
      <c r="S58" s="32" t="s">
        <v>94</v>
      </c>
      <c r="T58" s="32">
        <v>7731352054</v>
      </c>
      <c r="U58" t="s">
        <v>421</v>
      </c>
      <c r="V58" t="s">
        <v>422</v>
      </c>
      <c r="W58">
        <v>94780</v>
      </c>
      <c r="X58" t="s">
        <v>423</v>
      </c>
      <c r="Y58" t="s">
        <v>98</v>
      </c>
      <c r="Z58" t="s">
        <v>89</v>
      </c>
      <c r="AA58">
        <v>3009186262</v>
      </c>
      <c r="AC58" s="23">
        <v>42684</v>
      </c>
    </row>
    <row r="59" spans="1:29" hidden="1" x14ac:dyDescent="0.25">
      <c r="A59">
        <v>391</v>
      </c>
      <c r="B59" t="s">
        <v>9</v>
      </c>
      <c r="C59" s="32" t="s">
        <v>424</v>
      </c>
      <c r="D59" s="32" t="s">
        <v>11</v>
      </c>
      <c r="E59" t="s">
        <v>92</v>
      </c>
      <c r="F59">
        <v>362</v>
      </c>
      <c r="G59" s="33">
        <v>26694</v>
      </c>
      <c r="H59" s="33">
        <v>39863</v>
      </c>
      <c r="I59" s="23">
        <v>40823</v>
      </c>
      <c r="J59" t="s">
        <v>81</v>
      </c>
      <c r="K59" t="s">
        <v>82</v>
      </c>
      <c r="L59" s="32">
        <v>96907322794</v>
      </c>
      <c r="M59" s="32" t="s">
        <v>2365</v>
      </c>
      <c r="N59" s="32" t="s">
        <v>425</v>
      </c>
      <c r="O59">
        <v>110.59</v>
      </c>
      <c r="P59">
        <v>116.19</v>
      </c>
      <c r="Q59">
        <v>116.19</v>
      </c>
      <c r="R59" s="32">
        <v>20</v>
      </c>
      <c r="T59" s="32"/>
      <c r="U59" t="s">
        <v>426</v>
      </c>
      <c r="V59" t="s">
        <v>427</v>
      </c>
      <c r="W59">
        <v>56589</v>
      </c>
      <c r="X59" t="s">
        <v>428</v>
      </c>
      <c r="Y59" t="s">
        <v>223</v>
      </c>
      <c r="Z59" t="s">
        <v>89</v>
      </c>
      <c r="AB59" t="s">
        <v>429</v>
      </c>
      <c r="AC59" s="23">
        <v>43471</v>
      </c>
    </row>
    <row r="60" spans="1:29" hidden="1" x14ac:dyDescent="0.25">
      <c r="A60">
        <v>392</v>
      </c>
      <c r="B60" t="s">
        <v>9</v>
      </c>
      <c r="C60" s="32" t="s">
        <v>430</v>
      </c>
      <c r="D60" s="32" t="s">
        <v>11</v>
      </c>
      <c r="F60">
        <v>562</v>
      </c>
      <c r="G60" s="33">
        <v>23867</v>
      </c>
      <c r="H60" s="33">
        <v>41652</v>
      </c>
      <c r="I60" s="23">
        <v>41652</v>
      </c>
      <c r="J60" t="s">
        <v>81</v>
      </c>
      <c r="K60" t="s">
        <v>82</v>
      </c>
      <c r="L60" s="32">
        <v>14816511589</v>
      </c>
      <c r="M60" s="32" t="s">
        <v>2366</v>
      </c>
      <c r="N60" s="32" t="s">
        <v>431</v>
      </c>
      <c r="O60">
        <v>110.59</v>
      </c>
      <c r="P60">
        <v>115.59</v>
      </c>
      <c r="Q60" t="s">
        <v>9</v>
      </c>
      <c r="R60" s="32">
        <v>20</v>
      </c>
      <c r="S60" s="32" t="s">
        <v>94</v>
      </c>
      <c r="T60" s="32" t="s">
        <v>432</v>
      </c>
      <c r="U60" t="s">
        <v>433</v>
      </c>
      <c r="V60" t="s">
        <v>434</v>
      </c>
      <c r="W60">
        <v>42820</v>
      </c>
      <c r="X60" t="s">
        <v>132</v>
      </c>
      <c r="Y60" t="s">
        <v>133</v>
      </c>
      <c r="Z60" t="s">
        <v>89</v>
      </c>
      <c r="AA60">
        <v>1302017622</v>
      </c>
      <c r="AC60" s="23">
        <v>42684</v>
      </c>
    </row>
    <row r="61" spans="1:29" hidden="1" x14ac:dyDescent="0.25">
      <c r="A61">
        <v>393</v>
      </c>
      <c r="B61" t="s">
        <v>9</v>
      </c>
      <c r="C61" s="32" t="s">
        <v>435</v>
      </c>
      <c r="D61" s="32" t="s">
        <v>79</v>
      </c>
      <c r="E61" t="s">
        <v>92</v>
      </c>
      <c r="F61">
        <v>588</v>
      </c>
      <c r="G61" s="33">
        <v>22744</v>
      </c>
      <c r="H61" s="33">
        <v>41878</v>
      </c>
      <c r="I61" s="23">
        <v>42812</v>
      </c>
      <c r="J61" t="s">
        <v>81</v>
      </c>
      <c r="K61" t="s">
        <v>82</v>
      </c>
      <c r="L61" s="32">
        <v>1906204035</v>
      </c>
      <c r="M61" s="32" t="s">
        <v>2367</v>
      </c>
      <c r="N61" s="32" t="s">
        <v>436</v>
      </c>
      <c r="O61">
        <v>110.59</v>
      </c>
      <c r="P61">
        <v>115.74</v>
      </c>
      <c r="Q61">
        <v>0</v>
      </c>
      <c r="R61" s="32">
        <v>20</v>
      </c>
      <c r="S61" s="32" t="s">
        <v>94</v>
      </c>
      <c r="T61" s="32" t="s">
        <v>437</v>
      </c>
      <c r="U61" t="s">
        <v>438</v>
      </c>
      <c r="V61" t="s">
        <v>439</v>
      </c>
      <c r="W61">
        <v>90260</v>
      </c>
      <c r="X61" t="s">
        <v>440</v>
      </c>
      <c r="Y61" t="s">
        <v>349</v>
      </c>
      <c r="Z61" t="s">
        <v>89</v>
      </c>
      <c r="AA61">
        <v>2903019854</v>
      </c>
      <c r="AB61" t="s">
        <v>441</v>
      </c>
      <c r="AC61" s="23">
        <v>43471</v>
      </c>
    </row>
    <row r="62" spans="1:29" hidden="1" x14ac:dyDescent="0.25">
      <c r="A62">
        <v>394</v>
      </c>
      <c r="B62" t="s">
        <v>9</v>
      </c>
      <c r="C62" s="32" t="s">
        <v>442</v>
      </c>
      <c r="D62" s="32" t="s">
        <v>11</v>
      </c>
      <c r="E62" t="s">
        <v>92</v>
      </c>
      <c r="F62">
        <v>584</v>
      </c>
      <c r="G62" s="33">
        <v>23299</v>
      </c>
      <c r="H62" s="33">
        <v>41845</v>
      </c>
      <c r="I62" s="23">
        <v>43471</v>
      </c>
      <c r="J62" t="s">
        <v>81</v>
      </c>
      <c r="K62" t="s">
        <v>82</v>
      </c>
      <c r="L62" s="32">
        <v>6796278353</v>
      </c>
      <c r="M62" s="32" t="s">
        <v>2368</v>
      </c>
      <c r="N62" s="32" t="s">
        <v>443</v>
      </c>
      <c r="O62">
        <v>125.74</v>
      </c>
      <c r="P62">
        <v>147.87</v>
      </c>
      <c r="Q62">
        <v>131.5</v>
      </c>
      <c r="R62" s="32">
        <v>20</v>
      </c>
      <c r="S62" s="32" t="s">
        <v>204</v>
      </c>
      <c r="T62" s="32" t="s">
        <v>444</v>
      </c>
      <c r="U62" t="s">
        <v>445</v>
      </c>
      <c r="V62" t="s">
        <v>446</v>
      </c>
      <c r="W62">
        <v>55600</v>
      </c>
      <c r="X62" t="s">
        <v>87</v>
      </c>
      <c r="Y62" t="s">
        <v>223</v>
      </c>
      <c r="Z62" t="s">
        <v>89</v>
      </c>
      <c r="AA62">
        <v>1513137443</v>
      </c>
      <c r="AB62" t="s">
        <v>447</v>
      </c>
      <c r="AC62" s="23">
        <v>43285</v>
      </c>
    </row>
    <row r="63" spans="1:29" hidden="1" x14ac:dyDescent="0.25">
      <c r="A63">
        <v>395</v>
      </c>
      <c r="B63" t="s">
        <v>9</v>
      </c>
      <c r="C63" s="32" t="s">
        <v>448</v>
      </c>
      <c r="D63" s="32" t="s">
        <v>11</v>
      </c>
      <c r="E63" t="s">
        <v>92</v>
      </c>
      <c r="F63">
        <v>297</v>
      </c>
      <c r="G63" s="33">
        <v>23448</v>
      </c>
      <c r="H63" s="33">
        <v>38167</v>
      </c>
      <c r="I63" s="23">
        <v>41560</v>
      </c>
      <c r="J63" t="s">
        <v>81</v>
      </c>
      <c r="K63" t="s">
        <v>82</v>
      </c>
      <c r="L63" s="32">
        <v>15826415679</v>
      </c>
      <c r="M63" s="32" t="s">
        <v>2369</v>
      </c>
      <c r="N63" s="32" t="s">
        <v>449</v>
      </c>
      <c r="O63">
        <v>110.59</v>
      </c>
      <c r="P63">
        <v>116.19</v>
      </c>
      <c r="Q63">
        <v>116.19</v>
      </c>
      <c r="R63" s="32">
        <v>20</v>
      </c>
      <c r="T63" s="32"/>
      <c r="U63" t="s">
        <v>450</v>
      </c>
      <c r="V63" t="s">
        <v>451</v>
      </c>
      <c r="W63">
        <v>62010</v>
      </c>
      <c r="X63" t="s">
        <v>452</v>
      </c>
      <c r="Y63" t="s">
        <v>230</v>
      </c>
      <c r="Z63" t="s">
        <v>89</v>
      </c>
      <c r="AB63" t="s">
        <v>453</v>
      </c>
      <c r="AC63" s="23">
        <v>43471</v>
      </c>
    </row>
    <row r="64" spans="1:29" hidden="1" x14ac:dyDescent="0.25">
      <c r="A64">
        <v>396</v>
      </c>
      <c r="B64" t="s">
        <v>9</v>
      </c>
      <c r="C64" s="32" t="s">
        <v>454</v>
      </c>
      <c r="D64" s="32" t="s">
        <v>11</v>
      </c>
      <c r="F64">
        <v>662</v>
      </c>
      <c r="G64" s="33">
        <v>29763</v>
      </c>
      <c r="H64" s="33">
        <v>42349</v>
      </c>
      <c r="I64" s="23">
        <v>42349</v>
      </c>
      <c r="J64" t="s">
        <v>81</v>
      </c>
      <c r="K64" t="s">
        <v>82</v>
      </c>
      <c r="L64" s="32">
        <v>15998119950</v>
      </c>
      <c r="M64" s="32" t="s">
        <v>2370</v>
      </c>
      <c r="N64" s="32" t="s">
        <v>455</v>
      </c>
      <c r="O64">
        <v>110.59</v>
      </c>
      <c r="P64">
        <v>115.59</v>
      </c>
      <c r="Q64" t="s">
        <v>9</v>
      </c>
      <c r="R64" s="32">
        <v>17</v>
      </c>
      <c r="S64" s="32" t="s">
        <v>94</v>
      </c>
      <c r="T64" s="32">
        <v>6643517450</v>
      </c>
      <c r="U64" t="s">
        <v>456</v>
      </c>
      <c r="V64" t="s">
        <v>457</v>
      </c>
      <c r="W64">
        <v>22480</v>
      </c>
      <c r="X64" t="s">
        <v>180</v>
      </c>
      <c r="Y64" t="s">
        <v>181</v>
      </c>
      <c r="Z64" t="s">
        <v>89</v>
      </c>
      <c r="AB64" t="s">
        <v>458</v>
      </c>
      <c r="AC64" s="23">
        <v>42475</v>
      </c>
    </row>
    <row r="65" spans="1:29" hidden="1" x14ac:dyDescent="0.25">
      <c r="A65">
        <v>397</v>
      </c>
      <c r="B65" t="s">
        <v>9</v>
      </c>
      <c r="C65" s="32" t="s">
        <v>459</v>
      </c>
      <c r="D65" s="32" t="s">
        <v>11</v>
      </c>
      <c r="F65">
        <v>460</v>
      </c>
      <c r="G65" s="33">
        <v>24469</v>
      </c>
      <c r="H65" s="33">
        <v>40903</v>
      </c>
      <c r="I65" s="23">
        <v>40903</v>
      </c>
      <c r="J65" t="s">
        <v>81</v>
      </c>
      <c r="K65" t="s">
        <v>82</v>
      </c>
      <c r="L65" s="32">
        <v>33846535699</v>
      </c>
      <c r="M65" s="32" t="s">
        <v>2371</v>
      </c>
      <c r="N65" s="32" t="s">
        <v>460</v>
      </c>
      <c r="O65">
        <v>110.59</v>
      </c>
      <c r="P65">
        <v>116.07</v>
      </c>
      <c r="Q65" t="s">
        <v>9</v>
      </c>
      <c r="R65" s="32">
        <v>19</v>
      </c>
      <c r="S65" s="32" t="s">
        <v>94</v>
      </c>
      <c r="T65" s="32" t="s">
        <v>461</v>
      </c>
      <c r="U65" t="s">
        <v>462</v>
      </c>
      <c r="V65" t="s">
        <v>463</v>
      </c>
      <c r="W65">
        <v>32694</v>
      </c>
      <c r="X65" t="s">
        <v>277</v>
      </c>
      <c r="Y65" t="s">
        <v>118</v>
      </c>
      <c r="Z65" t="s">
        <v>89</v>
      </c>
      <c r="AA65">
        <v>805277960</v>
      </c>
      <c r="AB65" t="s">
        <v>464</v>
      </c>
      <c r="AC65" s="23">
        <v>41420</v>
      </c>
    </row>
    <row r="66" spans="1:29" hidden="1" x14ac:dyDescent="0.25">
      <c r="A66">
        <v>398</v>
      </c>
      <c r="B66" t="s">
        <v>9</v>
      </c>
      <c r="C66" s="32" t="s">
        <v>465</v>
      </c>
      <c r="D66" s="32" t="s">
        <v>11</v>
      </c>
      <c r="F66">
        <v>592</v>
      </c>
      <c r="G66" s="33">
        <v>23566</v>
      </c>
      <c r="H66" s="33">
        <v>41899</v>
      </c>
      <c r="I66" s="23">
        <v>41899</v>
      </c>
      <c r="J66" t="s">
        <v>81</v>
      </c>
      <c r="K66" t="s">
        <v>82</v>
      </c>
      <c r="L66" s="32">
        <v>75836409468</v>
      </c>
      <c r="M66" s="32" t="s">
        <v>2372</v>
      </c>
      <c r="N66" s="32" t="s">
        <v>466</v>
      </c>
      <c r="O66">
        <v>110.59</v>
      </c>
      <c r="P66">
        <v>115.74</v>
      </c>
      <c r="Q66" t="s">
        <v>9</v>
      </c>
      <c r="R66" s="32">
        <v>20</v>
      </c>
      <c r="S66" s="32" t="s">
        <v>94</v>
      </c>
      <c r="T66" s="32" t="s">
        <v>467</v>
      </c>
      <c r="U66" t="s">
        <v>468</v>
      </c>
      <c r="V66" t="s">
        <v>469</v>
      </c>
      <c r="W66">
        <v>7140</v>
      </c>
      <c r="X66" t="s">
        <v>470</v>
      </c>
      <c r="Y66" t="s">
        <v>471</v>
      </c>
      <c r="Z66" t="s">
        <v>89</v>
      </c>
      <c r="AC66" s="23">
        <v>42684</v>
      </c>
    </row>
    <row r="67" spans="1:29" hidden="1" x14ac:dyDescent="0.25">
      <c r="A67">
        <v>400</v>
      </c>
      <c r="B67" t="s">
        <v>9</v>
      </c>
      <c r="C67" s="32" t="s">
        <v>472</v>
      </c>
      <c r="D67" s="32" t="s">
        <v>11</v>
      </c>
      <c r="F67">
        <v>429</v>
      </c>
      <c r="G67" s="33">
        <v>22888</v>
      </c>
      <c r="H67" s="33">
        <v>40725</v>
      </c>
      <c r="I67" s="23">
        <v>40735</v>
      </c>
      <c r="J67" t="s">
        <v>81</v>
      </c>
      <c r="K67" t="s">
        <v>82</v>
      </c>
      <c r="L67" s="32">
        <v>33816275227</v>
      </c>
      <c r="M67" s="32" t="s">
        <v>2373</v>
      </c>
      <c r="N67" s="32" t="s">
        <v>473</v>
      </c>
      <c r="O67">
        <v>110.59</v>
      </c>
      <c r="P67">
        <v>116.19</v>
      </c>
      <c r="Q67" t="s">
        <v>9</v>
      </c>
      <c r="R67" s="32">
        <v>19</v>
      </c>
      <c r="T67" s="32" t="s">
        <v>474</v>
      </c>
      <c r="U67" t="s">
        <v>475</v>
      </c>
      <c r="V67" t="s">
        <v>476</v>
      </c>
      <c r="W67">
        <v>32698</v>
      </c>
      <c r="X67" t="s">
        <v>117</v>
      </c>
      <c r="Y67" t="s">
        <v>118</v>
      </c>
      <c r="Z67" t="s">
        <v>89</v>
      </c>
      <c r="AC67" s="23">
        <v>42684</v>
      </c>
    </row>
    <row r="68" spans="1:29" hidden="1" x14ac:dyDescent="0.25">
      <c r="A68">
        <v>401</v>
      </c>
      <c r="B68" t="s">
        <v>9</v>
      </c>
      <c r="C68" s="32" t="s">
        <v>477</v>
      </c>
      <c r="D68" s="32" t="s">
        <v>11</v>
      </c>
      <c r="F68">
        <v>83</v>
      </c>
      <c r="G68" s="33">
        <v>23142</v>
      </c>
      <c r="H68" s="33">
        <v>34710</v>
      </c>
      <c r="I68" s="23">
        <v>35611</v>
      </c>
      <c r="J68" t="s">
        <v>81</v>
      </c>
      <c r="K68" t="s">
        <v>82</v>
      </c>
      <c r="L68" s="32">
        <v>33816440821</v>
      </c>
      <c r="M68" s="32" t="s">
        <v>2374</v>
      </c>
      <c r="N68" s="32" t="s">
        <v>478</v>
      </c>
      <c r="O68">
        <v>110.59</v>
      </c>
      <c r="P68">
        <v>116.5</v>
      </c>
      <c r="Q68" t="s">
        <v>9</v>
      </c>
      <c r="R68" s="32">
        <v>19</v>
      </c>
      <c r="T68" s="32"/>
      <c r="U68" t="s">
        <v>479</v>
      </c>
      <c r="V68" t="s">
        <v>480</v>
      </c>
      <c r="W68">
        <v>32690</v>
      </c>
      <c r="X68" t="s">
        <v>117</v>
      </c>
      <c r="Y68" t="s">
        <v>118</v>
      </c>
      <c r="Z68" t="s">
        <v>89</v>
      </c>
      <c r="AC68" s="23">
        <v>42684</v>
      </c>
    </row>
    <row r="69" spans="1:29" hidden="1" x14ac:dyDescent="0.25">
      <c r="A69">
        <v>402</v>
      </c>
      <c r="B69" t="s">
        <v>9</v>
      </c>
      <c r="C69" s="32" t="s">
        <v>481</v>
      </c>
      <c r="D69" s="32" t="s">
        <v>11</v>
      </c>
      <c r="F69">
        <v>388</v>
      </c>
      <c r="G69" s="33">
        <v>29906</v>
      </c>
      <c r="H69" s="33">
        <v>39981</v>
      </c>
      <c r="I69" s="23">
        <v>39830</v>
      </c>
      <c r="J69" t="s">
        <v>81</v>
      </c>
      <c r="K69" t="s">
        <v>82</v>
      </c>
      <c r="L69" s="32">
        <v>67018106095</v>
      </c>
      <c r="M69" s="32" t="s">
        <v>2375</v>
      </c>
      <c r="N69" s="32" t="s">
        <v>482</v>
      </c>
      <c r="O69">
        <v>110.59</v>
      </c>
      <c r="P69">
        <v>116.19</v>
      </c>
      <c r="Q69" t="s">
        <v>9</v>
      </c>
      <c r="R69" s="32">
        <v>20</v>
      </c>
      <c r="T69" s="32">
        <v>44551012559</v>
      </c>
      <c r="U69" t="s">
        <v>483</v>
      </c>
      <c r="V69" t="s">
        <v>484</v>
      </c>
      <c r="W69">
        <v>56240</v>
      </c>
      <c r="X69" t="s">
        <v>373</v>
      </c>
      <c r="Y69" t="s">
        <v>223</v>
      </c>
      <c r="Z69" t="s">
        <v>89</v>
      </c>
      <c r="AC69" s="23">
        <v>42684</v>
      </c>
    </row>
    <row r="70" spans="1:29" hidden="1" x14ac:dyDescent="0.25">
      <c r="A70">
        <v>403</v>
      </c>
      <c r="B70" t="s">
        <v>9</v>
      </c>
      <c r="C70" s="32" t="s">
        <v>485</v>
      </c>
      <c r="D70" s="32" t="s">
        <v>11</v>
      </c>
      <c r="F70">
        <v>424</v>
      </c>
      <c r="G70" s="33">
        <v>29850</v>
      </c>
      <c r="H70" s="33">
        <v>42238</v>
      </c>
      <c r="I70" s="23">
        <v>42238</v>
      </c>
      <c r="J70" t="s">
        <v>81</v>
      </c>
      <c r="K70" t="s">
        <v>82</v>
      </c>
      <c r="L70" s="32">
        <v>96018107019</v>
      </c>
      <c r="M70" s="32" t="s">
        <v>2376</v>
      </c>
      <c r="N70" s="32" t="s">
        <v>486</v>
      </c>
      <c r="O70">
        <v>110.59</v>
      </c>
      <c r="P70">
        <v>115.59</v>
      </c>
      <c r="Q70" t="s">
        <v>9</v>
      </c>
      <c r="R70" s="32">
        <v>20</v>
      </c>
      <c r="S70" s="32" t="s">
        <v>94</v>
      </c>
      <c r="T70" s="32" t="s">
        <v>487</v>
      </c>
      <c r="U70" t="s">
        <v>488</v>
      </c>
      <c r="V70" t="s">
        <v>489</v>
      </c>
      <c r="W70">
        <v>56243</v>
      </c>
      <c r="X70" t="s">
        <v>373</v>
      </c>
      <c r="Y70" t="s">
        <v>88</v>
      </c>
      <c r="Z70" t="s">
        <v>89</v>
      </c>
      <c r="AC70" s="23">
        <v>42684</v>
      </c>
    </row>
    <row r="71" spans="1:29" hidden="1" x14ac:dyDescent="0.25">
      <c r="A71">
        <v>404</v>
      </c>
      <c r="B71" t="s">
        <v>9</v>
      </c>
      <c r="C71" s="32" t="s">
        <v>490</v>
      </c>
      <c r="D71" s="32" t="s">
        <v>11</v>
      </c>
      <c r="F71">
        <v>591</v>
      </c>
      <c r="G71" s="33">
        <v>25365</v>
      </c>
      <c r="H71" s="33">
        <v>41894</v>
      </c>
      <c r="I71" s="23">
        <v>41894</v>
      </c>
      <c r="J71" t="s">
        <v>81</v>
      </c>
      <c r="K71" t="s">
        <v>82</v>
      </c>
      <c r="L71" s="32">
        <v>32886917957</v>
      </c>
      <c r="M71" s="32" t="s">
        <v>2377</v>
      </c>
      <c r="N71" s="32" t="s">
        <v>491</v>
      </c>
      <c r="O71">
        <v>110.59</v>
      </c>
      <c r="P71">
        <v>115.74</v>
      </c>
      <c r="Q71" t="s">
        <v>9</v>
      </c>
      <c r="R71" s="32">
        <v>20</v>
      </c>
      <c r="S71" s="32" t="s">
        <v>94</v>
      </c>
      <c r="T71" s="32" t="s">
        <v>492</v>
      </c>
      <c r="U71" t="s">
        <v>493</v>
      </c>
      <c r="V71" t="s">
        <v>494</v>
      </c>
      <c r="W71">
        <v>54190</v>
      </c>
      <c r="X71" t="s">
        <v>125</v>
      </c>
      <c r="Y71" t="s">
        <v>88</v>
      </c>
      <c r="Z71" t="s">
        <v>89</v>
      </c>
      <c r="AC71" s="23">
        <v>42684</v>
      </c>
    </row>
    <row r="72" spans="1:29" hidden="1" x14ac:dyDescent="0.25">
      <c r="A72">
        <v>405</v>
      </c>
      <c r="B72" t="s">
        <v>9</v>
      </c>
      <c r="C72" s="32" t="s">
        <v>495</v>
      </c>
      <c r="D72" s="32" t="s">
        <v>11</v>
      </c>
      <c r="F72">
        <v>407</v>
      </c>
      <c r="G72" s="33">
        <v>31641</v>
      </c>
      <c r="H72" s="33">
        <v>40471</v>
      </c>
      <c r="I72" s="23">
        <v>40471</v>
      </c>
      <c r="J72" t="s">
        <v>81</v>
      </c>
      <c r="K72" t="s">
        <v>82</v>
      </c>
      <c r="L72" s="32">
        <v>75048679601</v>
      </c>
      <c r="M72" s="32" t="s">
        <v>2378</v>
      </c>
      <c r="N72" s="32" t="s">
        <v>496</v>
      </c>
      <c r="O72">
        <v>110.59</v>
      </c>
      <c r="P72">
        <v>116.19</v>
      </c>
      <c r="Q72" t="s">
        <v>9</v>
      </c>
      <c r="R72" s="32">
        <v>20</v>
      </c>
      <c r="T72" s="32" t="s">
        <v>497</v>
      </c>
      <c r="U72" t="s">
        <v>498</v>
      </c>
      <c r="V72" t="s">
        <v>499</v>
      </c>
      <c r="W72">
        <v>45019</v>
      </c>
      <c r="X72" t="s">
        <v>500</v>
      </c>
      <c r="Y72" t="s">
        <v>112</v>
      </c>
      <c r="Z72" t="s">
        <v>89</v>
      </c>
      <c r="AC72" s="23">
        <v>42684</v>
      </c>
    </row>
    <row r="73" spans="1:29" hidden="1" x14ac:dyDescent="0.25">
      <c r="A73">
        <v>406</v>
      </c>
      <c r="B73" t="s">
        <v>9</v>
      </c>
      <c r="C73" s="32" t="s">
        <v>501</v>
      </c>
      <c r="D73" s="32" t="s">
        <v>11</v>
      </c>
      <c r="F73">
        <v>93</v>
      </c>
      <c r="G73" s="33">
        <v>16486</v>
      </c>
      <c r="H73" s="33">
        <v>36179</v>
      </c>
      <c r="I73" s="23">
        <v>36179</v>
      </c>
      <c r="J73" t="s">
        <v>81</v>
      </c>
      <c r="K73" t="s">
        <v>82</v>
      </c>
      <c r="L73" s="32">
        <v>33764502820</v>
      </c>
      <c r="M73" s="32" t="s">
        <v>2379</v>
      </c>
      <c r="N73" s="32" t="s">
        <v>502</v>
      </c>
      <c r="O73">
        <v>110.59</v>
      </c>
      <c r="P73">
        <v>116.5</v>
      </c>
      <c r="Q73" t="s">
        <v>9</v>
      </c>
      <c r="R73" s="32">
        <v>17</v>
      </c>
      <c r="T73" s="32"/>
      <c r="U73" t="s">
        <v>503</v>
      </c>
      <c r="V73" t="s">
        <v>504</v>
      </c>
      <c r="W73">
        <v>84259</v>
      </c>
      <c r="X73" t="s">
        <v>505</v>
      </c>
      <c r="Y73" t="s">
        <v>161</v>
      </c>
      <c r="Z73" t="s">
        <v>89</v>
      </c>
      <c r="AC73" s="23">
        <v>42684</v>
      </c>
    </row>
    <row r="74" spans="1:29" hidden="1" x14ac:dyDescent="0.25">
      <c r="A74">
        <v>407</v>
      </c>
      <c r="B74" t="s">
        <v>9</v>
      </c>
      <c r="C74" s="32" t="s">
        <v>506</v>
      </c>
      <c r="D74" s="32" t="s">
        <v>11</v>
      </c>
      <c r="F74">
        <v>95</v>
      </c>
      <c r="G74" s="33">
        <v>22774</v>
      </c>
      <c r="H74" s="33">
        <v>38006</v>
      </c>
      <c r="I74" s="23">
        <v>38006</v>
      </c>
      <c r="J74" t="s">
        <v>81</v>
      </c>
      <c r="K74" t="s">
        <v>82</v>
      </c>
      <c r="L74" s="32">
        <v>61896202803</v>
      </c>
      <c r="M74" s="32" t="s">
        <v>2380</v>
      </c>
      <c r="N74" s="32" t="s">
        <v>507</v>
      </c>
      <c r="O74">
        <v>110.59</v>
      </c>
      <c r="P74">
        <v>116.35</v>
      </c>
      <c r="Q74" t="s">
        <v>9</v>
      </c>
      <c r="R74" s="32">
        <v>20</v>
      </c>
      <c r="T74" s="32"/>
      <c r="U74" t="s">
        <v>508</v>
      </c>
      <c r="V74" t="s">
        <v>509</v>
      </c>
      <c r="W74">
        <v>39350</v>
      </c>
      <c r="X74" t="s">
        <v>192</v>
      </c>
      <c r="Y74" t="s">
        <v>193</v>
      </c>
      <c r="Z74" t="s">
        <v>89</v>
      </c>
      <c r="AA74">
        <v>1207032566</v>
      </c>
      <c r="AB74" t="s">
        <v>510</v>
      </c>
      <c r="AC74" s="23">
        <v>42007</v>
      </c>
    </row>
    <row r="75" spans="1:29" hidden="1" x14ac:dyDescent="0.25">
      <c r="A75">
        <v>408</v>
      </c>
      <c r="B75" t="s">
        <v>9</v>
      </c>
      <c r="C75" s="32" t="s">
        <v>511</v>
      </c>
      <c r="D75" s="32" t="s">
        <v>79</v>
      </c>
      <c r="E75" t="s">
        <v>120</v>
      </c>
      <c r="F75">
        <v>554</v>
      </c>
      <c r="G75" s="33">
        <v>22071</v>
      </c>
      <c r="H75" s="33">
        <v>41612</v>
      </c>
      <c r="I75" s="23">
        <v>41664</v>
      </c>
      <c r="J75" t="s">
        <v>81</v>
      </c>
      <c r="K75" t="s">
        <v>82</v>
      </c>
      <c r="L75" s="32">
        <v>33806058922</v>
      </c>
      <c r="M75" s="32" t="s">
        <v>2381</v>
      </c>
      <c r="N75" s="32" t="s">
        <v>512</v>
      </c>
      <c r="O75">
        <v>110.59</v>
      </c>
      <c r="P75">
        <v>115.59</v>
      </c>
      <c r="Q75">
        <v>115.59</v>
      </c>
      <c r="R75" s="32">
        <v>19</v>
      </c>
      <c r="S75" s="32" t="s">
        <v>94</v>
      </c>
      <c r="T75" s="32" t="s">
        <v>513</v>
      </c>
      <c r="U75" t="s">
        <v>514</v>
      </c>
      <c r="V75" t="s">
        <v>515</v>
      </c>
      <c r="W75">
        <v>31125</v>
      </c>
      <c r="X75" t="s">
        <v>118</v>
      </c>
      <c r="Y75" t="s">
        <v>118</v>
      </c>
      <c r="Z75" t="s">
        <v>89</v>
      </c>
      <c r="AA75">
        <v>898048803</v>
      </c>
      <c r="AB75" t="s">
        <v>516</v>
      </c>
      <c r="AC75" s="23">
        <v>43270</v>
      </c>
    </row>
    <row r="76" spans="1:29" hidden="1" x14ac:dyDescent="0.25">
      <c r="A76">
        <v>409</v>
      </c>
      <c r="B76" t="s">
        <v>9</v>
      </c>
      <c r="C76" s="32" t="s">
        <v>517</v>
      </c>
      <c r="D76" s="32" t="s">
        <v>79</v>
      </c>
      <c r="E76" t="s">
        <v>80</v>
      </c>
      <c r="F76">
        <v>565</v>
      </c>
      <c r="G76" s="33">
        <v>20721</v>
      </c>
      <c r="H76" s="33">
        <v>41670</v>
      </c>
      <c r="I76" s="23">
        <v>43144</v>
      </c>
      <c r="J76" t="s">
        <v>81</v>
      </c>
      <c r="K76" t="s">
        <v>82</v>
      </c>
      <c r="L76" s="32">
        <v>6735608371</v>
      </c>
      <c r="M76" s="32" t="s">
        <v>2382</v>
      </c>
      <c r="N76" s="32" t="s">
        <v>518</v>
      </c>
      <c r="O76">
        <v>117.6</v>
      </c>
      <c r="P76">
        <v>122.92</v>
      </c>
      <c r="Q76">
        <v>122.92</v>
      </c>
      <c r="R76" s="32">
        <v>20</v>
      </c>
      <c r="S76" s="32" t="s">
        <v>94</v>
      </c>
      <c r="T76" s="32" t="s">
        <v>519</v>
      </c>
      <c r="U76" t="s">
        <v>520</v>
      </c>
      <c r="V76" t="s">
        <v>521</v>
      </c>
      <c r="W76">
        <v>55600</v>
      </c>
      <c r="X76" t="s">
        <v>87</v>
      </c>
      <c r="Y76" t="s">
        <v>223</v>
      </c>
      <c r="Z76" t="s">
        <v>89</v>
      </c>
      <c r="AA76">
        <v>1503222264</v>
      </c>
      <c r="AB76" t="s">
        <v>522</v>
      </c>
      <c r="AC76" s="23">
        <v>43867</v>
      </c>
    </row>
    <row r="77" spans="1:29" hidden="1" x14ac:dyDescent="0.25">
      <c r="A77">
        <v>410</v>
      </c>
      <c r="B77" t="s">
        <v>9</v>
      </c>
      <c r="C77" s="32" t="s">
        <v>523</v>
      </c>
      <c r="D77" s="32" t="s">
        <v>79</v>
      </c>
      <c r="E77" t="s">
        <v>202</v>
      </c>
      <c r="F77">
        <v>586</v>
      </c>
      <c r="G77" s="33">
        <v>25464</v>
      </c>
      <c r="H77" s="33">
        <v>41862</v>
      </c>
      <c r="I77" s="23">
        <v>42684</v>
      </c>
      <c r="J77" t="s">
        <v>81</v>
      </c>
      <c r="K77" t="s">
        <v>82</v>
      </c>
      <c r="L77" s="32">
        <v>78916921253</v>
      </c>
      <c r="M77" s="32" t="s">
        <v>2383</v>
      </c>
      <c r="N77" s="32" t="s">
        <v>524</v>
      </c>
      <c r="O77">
        <v>110.59</v>
      </c>
      <c r="P77">
        <v>115.74</v>
      </c>
      <c r="Q77">
        <v>115.59</v>
      </c>
      <c r="R77" s="32">
        <v>20</v>
      </c>
      <c r="S77" s="32" t="s">
        <v>94</v>
      </c>
      <c r="T77" s="32"/>
      <c r="U77" t="s">
        <v>525</v>
      </c>
      <c r="V77" t="s">
        <v>526</v>
      </c>
      <c r="W77">
        <v>90208</v>
      </c>
      <c r="X77" t="s">
        <v>348</v>
      </c>
      <c r="Y77" t="s">
        <v>349</v>
      </c>
      <c r="Z77" t="s">
        <v>89</v>
      </c>
      <c r="AA77">
        <v>2914025189</v>
      </c>
      <c r="AC77" s="23">
        <v>42901</v>
      </c>
    </row>
    <row r="78" spans="1:29" hidden="1" x14ac:dyDescent="0.25">
      <c r="A78">
        <v>411</v>
      </c>
      <c r="B78" t="s">
        <v>9</v>
      </c>
      <c r="C78" s="32" t="s">
        <v>527</v>
      </c>
      <c r="D78" s="32" t="s">
        <v>79</v>
      </c>
      <c r="E78" t="s">
        <v>120</v>
      </c>
      <c r="F78">
        <v>121</v>
      </c>
      <c r="G78" s="33">
        <v>27908</v>
      </c>
      <c r="H78" s="33">
        <v>42317</v>
      </c>
      <c r="I78" s="23">
        <v>43144</v>
      </c>
      <c r="J78" t="s">
        <v>81</v>
      </c>
      <c r="K78" t="s">
        <v>82</v>
      </c>
      <c r="L78" s="32">
        <v>67987628921</v>
      </c>
      <c r="M78" s="32" t="s">
        <v>2384</v>
      </c>
      <c r="N78" s="32" t="s">
        <v>528</v>
      </c>
      <c r="O78">
        <v>110.59</v>
      </c>
      <c r="P78">
        <v>115.59</v>
      </c>
      <c r="Q78">
        <v>115.59</v>
      </c>
      <c r="R78" s="32">
        <v>20</v>
      </c>
      <c r="S78" s="32" t="s">
        <v>94</v>
      </c>
      <c r="T78" s="32">
        <v>5569508751</v>
      </c>
      <c r="U78" t="s">
        <v>529</v>
      </c>
      <c r="V78" t="s">
        <v>530</v>
      </c>
      <c r="W78">
        <v>96536</v>
      </c>
      <c r="X78" t="s">
        <v>531</v>
      </c>
      <c r="Y78" t="s">
        <v>98</v>
      </c>
      <c r="Z78" t="s">
        <v>89</v>
      </c>
      <c r="AA78">
        <v>3009154176</v>
      </c>
      <c r="AB78" t="s">
        <v>532</v>
      </c>
      <c r="AC78" s="23">
        <v>43260</v>
      </c>
    </row>
    <row r="79" spans="1:29" hidden="1" x14ac:dyDescent="0.25">
      <c r="A79">
        <v>412</v>
      </c>
      <c r="B79" t="s">
        <v>9</v>
      </c>
      <c r="C79" s="32" t="s">
        <v>533</v>
      </c>
      <c r="D79" s="32" t="s">
        <v>11</v>
      </c>
      <c r="E79" t="s">
        <v>92</v>
      </c>
      <c r="F79">
        <v>447</v>
      </c>
      <c r="G79" s="33">
        <v>23392</v>
      </c>
      <c r="H79" s="33">
        <v>40801</v>
      </c>
      <c r="I79" s="23">
        <v>41839</v>
      </c>
      <c r="J79" t="s">
        <v>81</v>
      </c>
      <c r="K79" t="s">
        <v>82</v>
      </c>
      <c r="L79" s="32">
        <v>75846424069</v>
      </c>
      <c r="M79" s="32" t="s">
        <v>2385</v>
      </c>
      <c r="N79" s="32" t="s">
        <v>534</v>
      </c>
      <c r="O79">
        <v>110.59</v>
      </c>
      <c r="P79">
        <v>116.19</v>
      </c>
      <c r="Q79">
        <v>116.19</v>
      </c>
      <c r="R79" s="32">
        <v>20</v>
      </c>
      <c r="S79" s="32" t="s">
        <v>94</v>
      </c>
      <c r="T79" s="32" t="s">
        <v>535</v>
      </c>
      <c r="U79" t="s">
        <v>536</v>
      </c>
      <c r="V79" t="s">
        <v>537</v>
      </c>
      <c r="W79">
        <v>55240</v>
      </c>
      <c r="X79" t="s">
        <v>167</v>
      </c>
      <c r="Y79" t="s">
        <v>223</v>
      </c>
      <c r="Z79" t="s">
        <v>89</v>
      </c>
      <c r="AB79" t="s">
        <v>538</v>
      </c>
      <c r="AC79" s="23">
        <v>43144</v>
      </c>
    </row>
    <row r="80" spans="1:29" hidden="1" x14ac:dyDescent="0.25">
      <c r="A80">
        <v>413</v>
      </c>
      <c r="B80" t="s">
        <v>9</v>
      </c>
      <c r="C80" s="32" t="s">
        <v>539</v>
      </c>
      <c r="D80" s="32" t="s">
        <v>11</v>
      </c>
      <c r="F80">
        <v>647</v>
      </c>
      <c r="G80" s="33">
        <v>26992</v>
      </c>
      <c r="H80" s="33">
        <v>42249</v>
      </c>
      <c r="I80" s="23">
        <v>42249</v>
      </c>
      <c r="J80" t="s">
        <v>81</v>
      </c>
      <c r="K80" t="s">
        <v>82</v>
      </c>
      <c r="L80" s="32">
        <v>92907201195</v>
      </c>
      <c r="M80" s="32" t="s">
        <v>2386</v>
      </c>
      <c r="N80" s="32" t="s">
        <v>540</v>
      </c>
      <c r="O80">
        <v>110.59</v>
      </c>
      <c r="P80">
        <v>115.59</v>
      </c>
      <c r="Q80" t="s">
        <v>9</v>
      </c>
      <c r="R80" s="32">
        <v>17</v>
      </c>
      <c r="S80" s="32" t="s">
        <v>94</v>
      </c>
      <c r="T80" s="32">
        <v>6641106758</v>
      </c>
      <c r="U80" t="s">
        <v>541</v>
      </c>
      <c r="V80" t="s">
        <v>542</v>
      </c>
      <c r="W80">
        <v>22253</v>
      </c>
      <c r="X80" t="s">
        <v>180</v>
      </c>
      <c r="Y80" t="s">
        <v>181</v>
      </c>
      <c r="Z80" t="s">
        <v>89</v>
      </c>
      <c r="AA80">
        <v>5214046447</v>
      </c>
      <c r="AC80" s="23">
        <v>42684</v>
      </c>
    </row>
    <row r="81" spans="1:29" hidden="1" x14ac:dyDescent="0.25">
      <c r="A81">
        <v>414</v>
      </c>
      <c r="B81" t="s">
        <v>9</v>
      </c>
      <c r="C81" s="32" t="s">
        <v>543</v>
      </c>
      <c r="D81" s="32" t="s">
        <v>11</v>
      </c>
      <c r="E81" t="s">
        <v>92</v>
      </c>
      <c r="F81">
        <v>261</v>
      </c>
      <c r="G81" s="33">
        <v>27358</v>
      </c>
      <c r="H81" s="33">
        <v>38988</v>
      </c>
      <c r="I81" s="23">
        <v>40991</v>
      </c>
      <c r="J81" t="s">
        <v>81</v>
      </c>
      <c r="K81" t="s">
        <v>82</v>
      </c>
      <c r="L81" s="32">
        <v>94947406073</v>
      </c>
      <c r="M81" s="32" t="s">
        <v>2387</v>
      </c>
      <c r="N81" s="32" t="s">
        <v>544</v>
      </c>
      <c r="O81">
        <v>110.59</v>
      </c>
      <c r="P81">
        <v>116.19</v>
      </c>
      <c r="Q81">
        <v>116.19</v>
      </c>
      <c r="R81" s="32">
        <v>20</v>
      </c>
      <c r="T81" s="32"/>
      <c r="U81" t="s">
        <v>545</v>
      </c>
      <c r="V81" t="s">
        <v>546</v>
      </c>
      <c r="W81">
        <v>55120</v>
      </c>
      <c r="X81" t="s">
        <v>240</v>
      </c>
      <c r="Y81" t="s">
        <v>223</v>
      </c>
      <c r="Z81" t="s">
        <v>89</v>
      </c>
      <c r="AB81" t="s">
        <v>547</v>
      </c>
      <c r="AC81" s="23">
        <v>43144</v>
      </c>
    </row>
    <row r="82" spans="1:29" hidden="1" x14ac:dyDescent="0.25">
      <c r="A82">
        <v>415</v>
      </c>
      <c r="B82" t="s">
        <v>9</v>
      </c>
      <c r="C82" s="32" t="s">
        <v>548</v>
      </c>
      <c r="D82" s="32" t="s">
        <v>11</v>
      </c>
      <c r="E82" t="s">
        <v>92</v>
      </c>
      <c r="F82">
        <v>242</v>
      </c>
      <c r="G82" s="33">
        <v>26477</v>
      </c>
      <c r="H82" s="33">
        <v>39038</v>
      </c>
      <c r="I82" s="23">
        <v>40874</v>
      </c>
      <c r="J82" t="s">
        <v>81</v>
      </c>
      <c r="K82" t="s">
        <v>82</v>
      </c>
      <c r="L82" s="32">
        <v>92917211424</v>
      </c>
      <c r="M82" s="32" t="s">
        <v>2388</v>
      </c>
      <c r="N82" s="32" t="s">
        <v>549</v>
      </c>
      <c r="O82">
        <v>110.59</v>
      </c>
      <c r="P82">
        <v>116.19</v>
      </c>
      <c r="Q82">
        <v>116.19</v>
      </c>
      <c r="R82" s="32">
        <v>20</v>
      </c>
      <c r="T82" s="32"/>
      <c r="U82" t="s">
        <v>550</v>
      </c>
      <c r="V82" t="s">
        <v>551</v>
      </c>
      <c r="W82">
        <v>55970</v>
      </c>
      <c r="X82" t="s">
        <v>551</v>
      </c>
      <c r="Y82" t="s">
        <v>223</v>
      </c>
      <c r="Z82" t="s">
        <v>89</v>
      </c>
      <c r="AB82" t="s">
        <v>552</v>
      </c>
      <c r="AC82" s="23">
        <v>43144</v>
      </c>
    </row>
    <row r="83" spans="1:29" hidden="1" x14ac:dyDescent="0.25">
      <c r="A83">
        <v>416</v>
      </c>
      <c r="B83" t="s">
        <v>9</v>
      </c>
      <c r="C83" s="32" t="s">
        <v>553</v>
      </c>
      <c r="D83" s="32" t="s">
        <v>11</v>
      </c>
      <c r="F83">
        <v>358</v>
      </c>
      <c r="G83" s="33">
        <v>26447</v>
      </c>
      <c r="H83" s="33">
        <v>39848</v>
      </c>
      <c r="I83" s="23">
        <v>39848</v>
      </c>
      <c r="J83" t="s">
        <v>81</v>
      </c>
      <c r="K83" t="s">
        <v>82</v>
      </c>
      <c r="L83" s="32">
        <v>67877251057</v>
      </c>
      <c r="M83" s="32" t="s">
        <v>2389</v>
      </c>
      <c r="N83" s="32" t="s">
        <v>554</v>
      </c>
      <c r="O83">
        <v>110.59</v>
      </c>
      <c r="P83">
        <v>116.19</v>
      </c>
      <c r="Q83" t="s">
        <v>9</v>
      </c>
      <c r="R83" s="32">
        <v>19</v>
      </c>
      <c r="T83" s="32"/>
      <c r="U83" t="s">
        <v>555</v>
      </c>
      <c r="V83" t="s">
        <v>556</v>
      </c>
      <c r="W83">
        <v>32630</v>
      </c>
      <c r="X83" t="s">
        <v>117</v>
      </c>
      <c r="Y83" t="s">
        <v>118</v>
      </c>
      <c r="Z83" t="s">
        <v>89</v>
      </c>
      <c r="AA83">
        <v>804213077</v>
      </c>
      <c r="AC83" s="23">
        <v>42684</v>
      </c>
    </row>
    <row r="84" spans="1:29" hidden="1" x14ac:dyDescent="0.25">
      <c r="A84">
        <v>419</v>
      </c>
      <c r="B84" t="s">
        <v>9</v>
      </c>
      <c r="C84" s="32" t="s">
        <v>557</v>
      </c>
      <c r="D84" s="32" t="s">
        <v>11</v>
      </c>
      <c r="E84" t="s">
        <v>92</v>
      </c>
      <c r="F84">
        <v>368</v>
      </c>
      <c r="G84" s="33">
        <v>23113</v>
      </c>
      <c r="H84" s="33">
        <v>39896</v>
      </c>
      <c r="I84" s="23">
        <v>41430</v>
      </c>
      <c r="J84" t="s">
        <v>81</v>
      </c>
      <c r="K84" t="s">
        <v>82</v>
      </c>
      <c r="L84" s="32">
        <v>13806313964</v>
      </c>
      <c r="M84" s="32" t="s">
        <v>2390</v>
      </c>
      <c r="N84" s="32" t="s">
        <v>558</v>
      </c>
      <c r="O84">
        <v>110.59</v>
      </c>
      <c r="P84">
        <v>116.19</v>
      </c>
      <c r="Q84">
        <v>116.19</v>
      </c>
      <c r="R84" s="32">
        <v>20</v>
      </c>
      <c r="S84" s="32" t="s">
        <v>94</v>
      </c>
      <c r="T84" s="32" t="s">
        <v>559</v>
      </c>
      <c r="U84" t="s">
        <v>560</v>
      </c>
      <c r="V84" t="s">
        <v>561</v>
      </c>
      <c r="W84">
        <v>42880</v>
      </c>
      <c r="X84" t="s">
        <v>562</v>
      </c>
      <c r="Y84" t="s">
        <v>133</v>
      </c>
      <c r="Z84" t="s">
        <v>89</v>
      </c>
      <c r="AB84" t="s">
        <v>563</v>
      </c>
      <c r="AC84" s="23">
        <v>43140</v>
      </c>
    </row>
    <row r="85" spans="1:29" hidden="1" x14ac:dyDescent="0.25">
      <c r="A85">
        <v>421</v>
      </c>
      <c r="B85" t="s">
        <v>9</v>
      </c>
      <c r="C85" s="32" t="s">
        <v>564</v>
      </c>
      <c r="D85" s="32" t="s">
        <v>11</v>
      </c>
      <c r="E85" t="s">
        <v>92</v>
      </c>
      <c r="F85">
        <v>548</v>
      </c>
      <c r="G85" s="33">
        <v>28716</v>
      </c>
      <c r="H85" s="33">
        <v>41586</v>
      </c>
      <c r="I85" s="23">
        <v>41925</v>
      </c>
      <c r="J85" t="s">
        <v>81</v>
      </c>
      <c r="K85" t="s">
        <v>82</v>
      </c>
      <c r="L85" s="32">
        <v>4977803891</v>
      </c>
      <c r="M85" s="32" t="s">
        <v>2391</v>
      </c>
      <c r="N85" s="32" t="s">
        <v>565</v>
      </c>
      <c r="O85">
        <v>110.59</v>
      </c>
      <c r="P85">
        <v>115.59</v>
      </c>
      <c r="Q85">
        <v>115.59</v>
      </c>
      <c r="R85" s="32">
        <v>20</v>
      </c>
      <c r="S85" s="32" t="s">
        <v>94</v>
      </c>
      <c r="T85" s="32" t="s">
        <v>566</v>
      </c>
      <c r="U85" t="s">
        <v>567</v>
      </c>
      <c r="V85" t="s">
        <v>568</v>
      </c>
      <c r="W85">
        <v>45645</v>
      </c>
      <c r="X85" t="s">
        <v>569</v>
      </c>
      <c r="Y85" t="s">
        <v>112</v>
      </c>
      <c r="Z85" t="s">
        <v>89</v>
      </c>
      <c r="AB85" t="s">
        <v>570</v>
      </c>
      <c r="AC85" s="23">
        <v>43140</v>
      </c>
    </row>
    <row r="86" spans="1:29" hidden="1" x14ac:dyDescent="0.25">
      <c r="A86">
        <v>422</v>
      </c>
      <c r="B86" t="s">
        <v>9</v>
      </c>
      <c r="C86" s="32" t="s">
        <v>571</v>
      </c>
      <c r="D86" s="32" t="s">
        <v>79</v>
      </c>
      <c r="E86" t="s">
        <v>202</v>
      </c>
      <c r="F86">
        <v>573</v>
      </c>
      <c r="G86" s="33">
        <v>26856</v>
      </c>
      <c r="H86" s="33">
        <v>41761</v>
      </c>
      <c r="I86" s="23">
        <v>42568</v>
      </c>
      <c r="J86" t="s">
        <v>81</v>
      </c>
      <c r="K86" t="s">
        <v>82</v>
      </c>
      <c r="L86" s="32">
        <v>11957308973</v>
      </c>
      <c r="M86" s="32" t="s">
        <v>2392</v>
      </c>
      <c r="N86" s="32" t="s">
        <v>572</v>
      </c>
      <c r="O86">
        <v>110.59</v>
      </c>
      <c r="P86">
        <v>115.74</v>
      </c>
      <c r="Q86">
        <v>115.59</v>
      </c>
      <c r="R86" s="32">
        <v>20</v>
      </c>
      <c r="S86" s="32" t="s">
        <v>258</v>
      </c>
      <c r="T86" s="32" t="s">
        <v>573</v>
      </c>
      <c r="U86" t="s">
        <v>574</v>
      </c>
      <c r="V86" t="s">
        <v>575</v>
      </c>
      <c r="W86">
        <v>54680</v>
      </c>
      <c r="X86" t="s">
        <v>322</v>
      </c>
      <c r="Y86" t="s">
        <v>223</v>
      </c>
      <c r="Z86" t="s">
        <v>89</v>
      </c>
      <c r="AA86">
        <v>1512122202</v>
      </c>
      <c r="AB86" t="s">
        <v>576</v>
      </c>
      <c r="AC86" s="23">
        <v>42901</v>
      </c>
    </row>
    <row r="87" spans="1:29" x14ac:dyDescent="0.25">
      <c r="A87">
        <v>423</v>
      </c>
      <c r="B87">
        <v>0</v>
      </c>
      <c r="C87" s="32" t="s">
        <v>577</v>
      </c>
      <c r="D87" s="32" t="s">
        <v>11</v>
      </c>
      <c r="E87" t="s">
        <v>578</v>
      </c>
      <c r="F87">
        <v>6</v>
      </c>
      <c r="G87" s="32" t="s">
        <v>579</v>
      </c>
      <c r="H87" s="33">
        <v>42313</v>
      </c>
      <c r="I87" s="23">
        <v>42313</v>
      </c>
      <c r="J87" t="s">
        <v>81</v>
      </c>
      <c r="K87" t="s">
        <v>82</v>
      </c>
      <c r="L87" s="32">
        <v>25977931150</v>
      </c>
      <c r="M87" s="32" t="s">
        <v>580</v>
      </c>
      <c r="N87" s="32" t="s">
        <v>581</v>
      </c>
      <c r="O87">
        <v>427.84</v>
      </c>
      <c r="P87">
        <v>447</v>
      </c>
      <c r="Q87">
        <v>80.739999999999995</v>
      </c>
      <c r="R87" s="32">
        <v>28</v>
      </c>
      <c r="S87" s="32" t="s">
        <v>94</v>
      </c>
      <c r="T87" s="32">
        <v>6264462</v>
      </c>
      <c r="U87" t="s">
        <v>582</v>
      </c>
      <c r="V87" t="s">
        <v>583</v>
      </c>
      <c r="W87">
        <v>32600</v>
      </c>
      <c r="X87" t="s">
        <v>180</v>
      </c>
      <c r="Y87" t="s">
        <v>181</v>
      </c>
      <c r="Z87" t="s">
        <v>89</v>
      </c>
      <c r="AB87" t="s">
        <v>584</v>
      </c>
      <c r="AC87" s="23">
        <v>43248</v>
      </c>
    </row>
    <row r="88" spans="1:29" hidden="1" x14ac:dyDescent="0.25">
      <c r="A88">
        <v>425</v>
      </c>
      <c r="B88">
        <v>0</v>
      </c>
      <c r="C88" s="32" t="s">
        <v>585</v>
      </c>
      <c r="D88" s="32" t="s">
        <v>11</v>
      </c>
      <c r="E88" t="s">
        <v>92</v>
      </c>
      <c r="F88">
        <v>30</v>
      </c>
      <c r="G88" s="33">
        <v>20528</v>
      </c>
      <c r="H88" s="33">
        <v>40522</v>
      </c>
      <c r="I88" s="23">
        <v>42043</v>
      </c>
      <c r="J88" t="s">
        <v>81</v>
      </c>
      <c r="K88" t="s">
        <v>82</v>
      </c>
      <c r="L88" s="32">
        <v>11755681415</v>
      </c>
      <c r="M88" s="32" t="s">
        <v>2393</v>
      </c>
      <c r="N88" s="32" t="s">
        <v>586</v>
      </c>
      <c r="O88">
        <v>110.59</v>
      </c>
      <c r="P88">
        <v>115.59</v>
      </c>
      <c r="Q88">
        <v>115.59</v>
      </c>
      <c r="R88" s="32">
        <v>20</v>
      </c>
      <c r="S88" s="32" t="s">
        <v>94</v>
      </c>
      <c r="T88" s="32" t="s">
        <v>587</v>
      </c>
      <c r="U88" t="s">
        <v>588</v>
      </c>
      <c r="V88" t="s">
        <v>315</v>
      </c>
      <c r="W88">
        <v>39120</v>
      </c>
      <c r="X88" t="s">
        <v>316</v>
      </c>
      <c r="Y88" t="s">
        <v>193</v>
      </c>
      <c r="Z88" t="s">
        <v>89</v>
      </c>
      <c r="AB88" t="s">
        <v>589</v>
      </c>
      <c r="AC88" s="23">
        <v>43140</v>
      </c>
    </row>
    <row r="89" spans="1:29" hidden="1" x14ac:dyDescent="0.25">
      <c r="A89">
        <v>426</v>
      </c>
      <c r="B89">
        <v>0</v>
      </c>
      <c r="C89" s="32" t="s">
        <v>590</v>
      </c>
      <c r="D89" s="32" t="s">
        <v>79</v>
      </c>
      <c r="E89" t="s">
        <v>92</v>
      </c>
      <c r="F89">
        <v>655</v>
      </c>
      <c r="G89" s="33">
        <v>26824</v>
      </c>
      <c r="H89" s="33">
        <v>42314</v>
      </c>
      <c r="I89" s="23">
        <v>42694</v>
      </c>
      <c r="J89" t="s">
        <v>81</v>
      </c>
      <c r="K89" t="s">
        <v>82</v>
      </c>
      <c r="L89" s="32">
        <v>42977305293</v>
      </c>
      <c r="M89" s="32" t="s">
        <v>591</v>
      </c>
      <c r="N89" s="32" t="s">
        <v>592</v>
      </c>
      <c r="O89">
        <v>110.59</v>
      </c>
      <c r="P89">
        <v>115.59</v>
      </c>
      <c r="Q89">
        <v>0</v>
      </c>
      <c r="R89" s="32">
        <v>20</v>
      </c>
      <c r="S89" s="32" t="s">
        <v>94</v>
      </c>
      <c r="T89" s="32">
        <v>5569508751</v>
      </c>
      <c r="U89" t="s">
        <v>593</v>
      </c>
      <c r="V89" t="s">
        <v>594</v>
      </c>
      <c r="W89">
        <v>9270</v>
      </c>
      <c r="X89" t="s">
        <v>594</v>
      </c>
      <c r="Y89" t="s">
        <v>471</v>
      </c>
      <c r="Z89" t="s">
        <v>89</v>
      </c>
      <c r="AB89" t="s">
        <v>595</v>
      </c>
      <c r="AC89" s="23">
        <v>43069</v>
      </c>
    </row>
    <row r="90" spans="1:29" hidden="1" x14ac:dyDescent="0.25">
      <c r="A90">
        <v>428</v>
      </c>
      <c r="B90">
        <v>0</v>
      </c>
      <c r="C90" s="32" t="s">
        <v>596</v>
      </c>
      <c r="D90" s="32" t="s">
        <v>79</v>
      </c>
      <c r="E90" t="s">
        <v>120</v>
      </c>
      <c r="F90">
        <v>688</v>
      </c>
      <c r="G90" s="33">
        <v>30194</v>
      </c>
      <c r="H90" s="33">
        <v>42451</v>
      </c>
      <c r="I90" s="23">
        <v>43144</v>
      </c>
      <c r="J90" t="s">
        <v>81</v>
      </c>
      <c r="K90" t="s">
        <v>82</v>
      </c>
      <c r="L90" s="32">
        <v>4988223097</v>
      </c>
      <c r="M90" s="32" t="s">
        <v>2394</v>
      </c>
      <c r="N90" s="32" t="s">
        <v>597</v>
      </c>
      <c r="O90">
        <v>125</v>
      </c>
      <c r="P90">
        <v>130.65</v>
      </c>
      <c r="Q90">
        <v>130.65</v>
      </c>
      <c r="R90" s="32">
        <v>20</v>
      </c>
      <c r="S90" s="32" t="s">
        <v>94</v>
      </c>
      <c r="T90" s="32">
        <v>4811037629</v>
      </c>
      <c r="U90" t="s">
        <v>598</v>
      </c>
      <c r="V90" t="s">
        <v>599</v>
      </c>
      <c r="W90">
        <v>36970</v>
      </c>
      <c r="X90" t="s">
        <v>600</v>
      </c>
      <c r="Y90" t="s">
        <v>601</v>
      </c>
      <c r="Z90" t="s">
        <v>89</v>
      </c>
      <c r="AC90" s="23">
        <v>43266</v>
      </c>
    </row>
    <row r="91" spans="1:29" hidden="1" x14ac:dyDescent="0.25">
      <c r="A91">
        <v>429</v>
      </c>
      <c r="B91">
        <v>0</v>
      </c>
      <c r="C91" s="32" t="s">
        <v>602</v>
      </c>
      <c r="D91" s="32" t="s">
        <v>11</v>
      </c>
      <c r="E91" t="s">
        <v>120</v>
      </c>
      <c r="F91">
        <v>691</v>
      </c>
      <c r="G91" s="33">
        <v>25108</v>
      </c>
      <c r="H91" s="33">
        <v>43392</v>
      </c>
      <c r="I91" s="23">
        <v>43392</v>
      </c>
      <c r="J91" t="s">
        <v>81</v>
      </c>
      <c r="K91" t="s">
        <v>82</v>
      </c>
      <c r="L91" s="32">
        <v>51886801979</v>
      </c>
      <c r="M91" s="32" t="s">
        <v>2395</v>
      </c>
      <c r="N91" s="32" t="s">
        <v>603</v>
      </c>
      <c r="O91">
        <v>110.59</v>
      </c>
      <c r="P91">
        <v>115.59</v>
      </c>
      <c r="Q91">
        <v>117.6</v>
      </c>
      <c r="R91" s="32">
        <v>20</v>
      </c>
      <c r="S91" s="32" t="s">
        <v>94</v>
      </c>
      <c r="T91" s="32">
        <v>4491260569</v>
      </c>
      <c r="U91" t="s">
        <v>604</v>
      </c>
      <c r="V91" t="s">
        <v>605</v>
      </c>
      <c r="W91">
        <v>20298</v>
      </c>
      <c r="X91" t="s">
        <v>606</v>
      </c>
      <c r="Y91" t="s">
        <v>607</v>
      </c>
      <c r="Z91" t="s">
        <v>89</v>
      </c>
      <c r="AB91" t="s">
        <v>608</v>
      </c>
      <c r="AC91" s="23">
        <v>43397</v>
      </c>
    </row>
    <row r="92" spans="1:29" hidden="1" x14ac:dyDescent="0.25">
      <c r="A92">
        <v>430</v>
      </c>
      <c r="B92">
        <v>0</v>
      </c>
      <c r="C92" s="32" t="s">
        <v>609</v>
      </c>
      <c r="D92" s="32" t="s">
        <v>79</v>
      </c>
      <c r="E92" t="s">
        <v>92</v>
      </c>
      <c r="F92">
        <v>692</v>
      </c>
      <c r="G92" s="33">
        <v>23338</v>
      </c>
      <c r="H92" s="33">
        <v>42461</v>
      </c>
      <c r="I92" s="23">
        <v>43016</v>
      </c>
      <c r="J92" t="s">
        <v>81</v>
      </c>
      <c r="K92" t="s">
        <v>82</v>
      </c>
      <c r="L92" s="32">
        <v>4866441688</v>
      </c>
      <c r="M92" s="32" t="s">
        <v>2396</v>
      </c>
      <c r="N92" s="32" t="s">
        <v>610</v>
      </c>
      <c r="O92">
        <v>110.59</v>
      </c>
      <c r="P92">
        <v>115.59</v>
      </c>
      <c r="Q92">
        <v>115.59</v>
      </c>
      <c r="R92" s="32">
        <v>20</v>
      </c>
      <c r="S92" s="32" t="s">
        <v>94</v>
      </c>
      <c r="T92" s="32">
        <v>4521008243</v>
      </c>
      <c r="U92" t="s">
        <v>611</v>
      </c>
      <c r="V92" t="s">
        <v>612</v>
      </c>
      <c r="W92">
        <v>60190</v>
      </c>
      <c r="X92" t="s">
        <v>613</v>
      </c>
      <c r="Y92" t="s">
        <v>614</v>
      </c>
      <c r="Z92" t="s">
        <v>89</v>
      </c>
      <c r="AB92" t="s">
        <v>615</v>
      </c>
      <c r="AC92" s="23">
        <v>43042</v>
      </c>
    </row>
    <row r="93" spans="1:29" hidden="1" x14ac:dyDescent="0.25">
      <c r="A93">
        <v>432</v>
      </c>
      <c r="B93">
        <v>0</v>
      </c>
      <c r="C93" s="32" t="s">
        <v>616</v>
      </c>
      <c r="D93" s="32" t="s">
        <v>11</v>
      </c>
      <c r="E93" t="s">
        <v>92</v>
      </c>
      <c r="F93">
        <v>702</v>
      </c>
      <c r="G93" s="33">
        <v>26512</v>
      </c>
      <c r="H93" s="33">
        <v>42472</v>
      </c>
      <c r="I93" s="23">
        <v>42684</v>
      </c>
      <c r="J93" t="s">
        <v>81</v>
      </c>
      <c r="K93" t="s">
        <v>82</v>
      </c>
      <c r="L93" s="32">
        <v>72927213321</v>
      </c>
      <c r="M93" s="32" t="s">
        <v>2397</v>
      </c>
      <c r="N93" s="32" t="s">
        <v>617</v>
      </c>
      <c r="O93">
        <v>110.59</v>
      </c>
      <c r="P93">
        <v>115.59</v>
      </c>
      <c r="Q93">
        <v>115.59</v>
      </c>
      <c r="R93" s="32">
        <v>20</v>
      </c>
      <c r="S93" s="32" t="s">
        <v>94</v>
      </c>
      <c r="T93" s="32">
        <v>2226854100</v>
      </c>
      <c r="U93" t="s">
        <v>618</v>
      </c>
      <c r="V93" t="s">
        <v>619</v>
      </c>
      <c r="W93">
        <v>72980</v>
      </c>
      <c r="X93" t="s">
        <v>620</v>
      </c>
      <c r="Y93" t="s">
        <v>145</v>
      </c>
      <c r="Z93" t="s">
        <v>89</v>
      </c>
      <c r="AB93" t="s">
        <v>621</v>
      </c>
      <c r="AC93" s="23">
        <v>43140</v>
      </c>
    </row>
    <row r="94" spans="1:29" hidden="1" x14ac:dyDescent="0.25">
      <c r="A94">
        <v>433</v>
      </c>
      <c r="B94">
        <v>0</v>
      </c>
      <c r="C94" s="32" t="s">
        <v>622</v>
      </c>
      <c r="D94" s="32" t="s">
        <v>79</v>
      </c>
      <c r="E94" t="s">
        <v>92</v>
      </c>
      <c r="F94">
        <v>712</v>
      </c>
      <c r="G94" s="33">
        <v>26225</v>
      </c>
      <c r="H94" s="33">
        <v>42480</v>
      </c>
      <c r="I94" s="23">
        <v>42813</v>
      </c>
      <c r="J94" t="s">
        <v>81</v>
      </c>
      <c r="K94" t="s">
        <v>82</v>
      </c>
      <c r="L94" s="32">
        <v>48927197227</v>
      </c>
      <c r="M94" s="32" t="s">
        <v>2398</v>
      </c>
      <c r="N94" s="32" t="s">
        <v>623</v>
      </c>
      <c r="O94">
        <v>110.59</v>
      </c>
      <c r="P94">
        <v>115.59</v>
      </c>
      <c r="Q94">
        <v>115.59</v>
      </c>
      <c r="R94" s="32">
        <v>20</v>
      </c>
      <c r="S94" s="32" t="s">
        <v>94</v>
      </c>
      <c r="T94" s="32" t="s">
        <v>624</v>
      </c>
      <c r="U94" t="s">
        <v>625</v>
      </c>
      <c r="V94" t="s">
        <v>626</v>
      </c>
      <c r="W94">
        <v>72310</v>
      </c>
      <c r="X94" t="s">
        <v>627</v>
      </c>
      <c r="Y94" t="s">
        <v>145</v>
      </c>
      <c r="Z94" t="s">
        <v>89</v>
      </c>
      <c r="AB94" t="s">
        <v>628</v>
      </c>
      <c r="AC94" s="23">
        <v>42920</v>
      </c>
    </row>
    <row r="95" spans="1:29" hidden="1" x14ac:dyDescent="0.25">
      <c r="A95">
        <v>434</v>
      </c>
      <c r="B95">
        <v>0</v>
      </c>
      <c r="C95" s="32" t="s">
        <v>629</v>
      </c>
      <c r="D95" s="32" t="s">
        <v>11</v>
      </c>
      <c r="E95" t="s">
        <v>80</v>
      </c>
      <c r="F95">
        <v>715</v>
      </c>
      <c r="G95" s="33">
        <v>26900</v>
      </c>
      <c r="H95" s="33">
        <v>43442</v>
      </c>
      <c r="I95" s="23">
        <v>43442</v>
      </c>
      <c r="J95" t="s">
        <v>81</v>
      </c>
      <c r="K95" t="s">
        <v>82</v>
      </c>
      <c r="L95" s="32">
        <v>13977310344</v>
      </c>
      <c r="M95" s="32" t="s">
        <v>2399</v>
      </c>
      <c r="N95" s="32" t="s">
        <v>630</v>
      </c>
      <c r="O95">
        <v>110.59</v>
      </c>
      <c r="P95">
        <v>115.59</v>
      </c>
      <c r="Q95">
        <v>115.59</v>
      </c>
      <c r="R95" s="32">
        <v>20</v>
      </c>
      <c r="S95" s="32" t="s">
        <v>94</v>
      </c>
      <c r="T95" s="32">
        <v>7731387196</v>
      </c>
      <c r="U95" t="s">
        <v>631</v>
      </c>
      <c r="V95" t="s">
        <v>632</v>
      </c>
      <c r="W95">
        <v>42300</v>
      </c>
      <c r="X95" t="s">
        <v>633</v>
      </c>
      <c r="Y95" t="s">
        <v>133</v>
      </c>
      <c r="Z95" t="s">
        <v>89</v>
      </c>
      <c r="AA95">
        <v>1301057651</v>
      </c>
      <c r="AB95" t="s">
        <v>634</v>
      </c>
      <c r="AC95" s="23">
        <v>43445</v>
      </c>
    </row>
    <row r="96" spans="1:29" hidden="1" x14ac:dyDescent="0.25">
      <c r="A96">
        <v>435</v>
      </c>
      <c r="B96">
        <v>0</v>
      </c>
      <c r="C96" s="32" t="s">
        <v>635</v>
      </c>
      <c r="D96" s="32" t="s">
        <v>11</v>
      </c>
      <c r="E96" t="s">
        <v>636</v>
      </c>
      <c r="F96">
        <v>718</v>
      </c>
      <c r="G96" s="33">
        <v>29348</v>
      </c>
      <c r="H96" s="33">
        <v>42485</v>
      </c>
      <c r="I96" s="23">
        <v>42885</v>
      </c>
      <c r="J96" t="s">
        <v>81</v>
      </c>
      <c r="K96" t="s">
        <v>82</v>
      </c>
      <c r="L96" s="32">
        <v>12958012994</v>
      </c>
      <c r="M96" s="32" t="s">
        <v>2400</v>
      </c>
      <c r="N96" s="32" t="s">
        <v>637</v>
      </c>
      <c r="O96">
        <v>110.59</v>
      </c>
      <c r="P96">
        <v>115.59</v>
      </c>
      <c r="Q96">
        <v>0</v>
      </c>
      <c r="R96" s="32">
        <v>20</v>
      </c>
      <c r="S96" s="32" t="s">
        <v>94</v>
      </c>
      <c r="T96" s="32" t="s">
        <v>638</v>
      </c>
      <c r="U96" t="s">
        <v>639</v>
      </c>
      <c r="V96" t="s">
        <v>640</v>
      </c>
      <c r="W96">
        <v>36970</v>
      </c>
      <c r="X96" t="s">
        <v>600</v>
      </c>
      <c r="Y96" t="s">
        <v>601</v>
      </c>
      <c r="Z96" t="s">
        <v>89</v>
      </c>
      <c r="AB96" t="s">
        <v>641</v>
      </c>
      <c r="AC96" s="23">
        <v>42885</v>
      </c>
    </row>
    <row r="97" spans="1:29" hidden="1" x14ac:dyDescent="0.25">
      <c r="A97">
        <v>436</v>
      </c>
      <c r="B97">
        <v>0</v>
      </c>
      <c r="C97" s="32" t="s">
        <v>642</v>
      </c>
      <c r="D97" s="32" t="s">
        <v>11</v>
      </c>
      <c r="E97" t="s">
        <v>92</v>
      </c>
      <c r="F97">
        <v>719</v>
      </c>
      <c r="G97" s="33">
        <v>27028</v>
      </c>
      <c r="H97" s="33">
        <v>42485</v>
      </c>
      <c r="I97" s="23">
        <v>42541</v>
      </c>
      <c r="J97" t="s">
        <v>81</v>
      </c>
      <c r="K97" t="s">
        <v>82</v>
      </c>
      <c r="L97" s="32">
        <v>65887401902</v>
      </c>
      <c r="M97" s="32" t="s">
        <v>2401</v>
      </c>
      <c r="N97" s="32" t="s">
        <v>643</v>
      </c>
      <c r="O97">
        <v>145</v>
      </c>
      <c r="P97">
        <v>151.55000000000001</v>
      </c>
      <c r="Q97">
        <v>151.55000000000001</v>
      </c>
      <c r="R97" s="32">
        <v>20</v>
      </c>
      <c r="S97" s="32" t="s">
        <v>94</v>
      </c>
      <c r="T97" s="32" t="s">
        <v>644</v>
      </c>
      <c r="U97" t="s">
        <v>645</v>
      </c>
      <c r="V97" t="s">
        <v>640</v>
      </c>
      <c r="W97">
        <v>36970</v>
      </c>
      <c r="X97" t="s">
        <v>600</v>
      </c>
      <c r="Y97" t="s">
        <v>601</v>
      </c>
      <c r="Z97" t="s">
        <v>89</v>
      </c>
      <c r="AB97" t="s">
        <v>646</v>
      </c>
      <c r="AC97" s="23">
        <v>43140</v>
      </c>
    </row>
    <row r="98" spans="1:29" hidden="1" x14ac:dyDescent="0.25">
      <c r="A98">
        <v>437</v>
      </c>
      <c r="B98">
        <v>0</v>
      </c>
      <c r="C98" s="32" t="s">
        <v>647</v>
      </c>
      <c r="D98" s="32" t="s">
        <v>79</v>
      </c>
      <c r="E98" t="s">
        <v>120</v>
      </c>
      <c r="F98">
        <v>720</v>
      </c>
      <c r="G98" s="33">
        <v>29563</v>
      </c>
      <c r="H98" s="33">
        <v>42906</v>
      </c>
      <c r="I98" s="23">
        <v>43282</v>
      </c>
      <c r="J98" t="s">
        <v>81</v>
      </c>
      <c r="K98" t="s">
        <v>82</v>
      </c>
      <c r="L98" s="32">
        <v>54008005032</v>
      </c>
      <c r="M98" s="32" t="s">
        <v>2402</v>
      </c>
      <c r="N98" s="32" t="s">
        <v>648</v>
      </c>
      <c r="O98">
        <v>110.59</v>
      </c>
      <c r="P98">
        <v>115.59</v>
      </c>
      <c r="Q98">
        <v>115.59</v>
      </c>
      <c r="R98" s="32">
        <v>20</v>
      </c>
      <c r="S98" s="32" t="s">
        <v>649</v>
      </c>
      <c r="T98" s="32" t="s">
        <v>650</v>
      </c>
      <c r="U98" t="s">
        <v>651</v>
      </c>
      <c r="V98" t="s">
        <v>652</v>
      </c>
      <c r="W98">
        <v>49000</v>
      </c>
      <c r="X98" t="s">
        <v>653</v>
      </c>
      <c r="Y98" t="s">
        <v>112</v>
      </c>
      <c r="Z98" t="s">
        <v>89</v>
      </c>
      <c r="AB98" t="s">
        <v>654</v>
      </c>
      <c r="AC98" s="23">
        <v>43260</v>
      </c>
    </row>
    <row r="99" spans="1:29" hidden="1" x14ac:dyDescent="0.25">
      <c r="A99">
        <v>438</v>
      </c>
      <c r="B99">
        <v>0</v>
      </c>
      <c r="C99" s="32" t="s">
        <v>655</v>
      </c>
      <c r="D99" s="32" t="s">
        <v>11</v>
      </c>
      <c r="E99" t="s">
        <v>120</v>
      </c>
      <c r="F99">
        <v>724</v>
      </c>
      <c r="G99" s="33">
        <v>27400</v>
      </c>
      <c r="H99" s="33">
        <v>43384</v>
      </c>
      <c r="I99" s="23">
        <v>43384</v>
      </c>
      <c r="J99" t="s">
        <v>81</v>
      </c>
      <c r="K99" t="s">
        <v>82</v>
      </c>
      <c r="L99" s="32">
        <v>2947560716</v>
      </c>
      <c r="M99" s="32" t="s">
        <v>2403</v>
      </c>
      <c r="N99" s="32" t="s">
        <v>656</v>
      </c>
      <c r="O99">
        <v>117.6</v>
      </c>
      <c r="P99">
        <v>117.6</v>
      </c>
      <c r="Q99">
        <v>122.92</v>
      </c>
      <c r="R99" s="32">
        <v>20</v>
      </c>
      <c r="S99" s="32" t="s">
        <v>204</v>
      </c>
      <c r="T99" s="32" t="s">
        <v>657</v>
      </c>
      <c r="U99" t="s">
        <v>658</v>
      </c>
      <c r="V99" t="s">
        <v>659</v>
      </c>
      <c r="W99">
        <v>72680</v>
      </c>
      <c r="X99" t="s">
        <v>660</v>
      </c>
      <c r="Y99" t="s">
        <v>145</v>
      </c>
      <c r="Z99" t="s">
        <v>89</v>
      </c>
      <c r="AB99" t="s">
        <v>661</v>
      </c>
      <c r="AC99" s="23">
        <v>43390</v>
      </c>
    </row>
    <row r="100" spans="1:29" hidden="1" x14ac:dyDescent="0.25">
      <c r="A100">
        <v>439</v>
      </c>
      <c r="B100">
        <v>0</v>
      </c>
      <c r="C100" s="32" t="s">
        <v>662</v>
      </c>
      <c r="D100" s="32" t="s">
        <v>79</v>
      </c>
      <c r="E100" t="s">
        <v>92</v>
      </c>
      <c r="F100">
        <v>726</v>
      </c>
      <c r="G100" s="33">
        <v>29740</v>
      </c>
      <c r="H100" s="33">
        <v>42489</v>
      </c>
      <c r="I100" s="23">
        <v>43057</v>
      </c>
      <c r="J100" t="s">
        <v>81</v>
      </c>
      <c r="K100" t="s">
        <v>82</v>
      </c>
      <c r="L100" s="32">
        <v>12008147915</v>
      </c>
      <c r="M100" s="32" t="s">
        <v>2404</v>
      </c>
      <c r="N100" s="32" t="s">
        <v>663</v>
      </c>
      <c r="O100">
        <v>110.59</v>
      </c>
      <c r="P100">
        <v>115.59</v>
      </c>
      <c r="Q100">
        <v>115.59</v>
      </c>
      <c r="R100" s="32">
        <v>20</v>
      </c>
      <c r="S100" s="32" t="s">
        <v>94</v>
      </c>
      <c r="T100" s="32" t="s">
        <v>664</v>
      </c>
      <c r="U100" t="s">
        <v>665</v>
      </c>
      <c r="V100" t="s">
        <v>666</v>
      </c>
      <c r="W100">
        <v>36970</v>
      </c>
      <c r="X100" t="s">
        <v>600</v>
      </c>
      <c r="Y100" t="s">
        <v>601</v>
      </c>
      <c r="Z100" t="s">
        <v>89</v>
      </c>
      <c r="AB100" t="s">
        <v>667</v>
      </c>
      <c r="AC100" s="23">
        <v>43042</v>
      </c>
    </row>
    <row r="101" spans="1:29" hidden="1" x14ac:dyDescent="0.25">
      <c r="A101">
        <v>440</v>
      </c>
      <c r="B101">
        <v>0</v>
      </c>
      <c r="C101" s="32" t="s">
        <v>668</v>
      </c>
      <c r="D101" s="32" t="s">
        <v>79</v>
      </c>
      <c r="E101" t="s">
        <v>120</v>
      </c>
      <c r="F101">
        <v>733</v>
      </c>
      <c r="G101" s="33">
        <v>27862</v>
      </c>
      <c r="H101" s="33">
        <v>42496</v>
      </c>
      <c r="I101" s="23">
        <v>43140</v>
      </c>
      <c r="J101" t="s">
        <v>81</v>
      </c>
      <c r="K101" t="s">
        <v>82</v>
      </c>
      <c r="L101" s="32">
        <v>56977611146</v>
      </c>
      <c r="M101" s="32" t="s">
        <v>2405</v>
      </c>
      <c r="N101" s="32" t="s">
        <v>669</v>
      </c>
      <c r="O101">
        <v>110.59</v>
      </c>
      <c r="P101">
        <v>115.59</v>
      </c>
      <c r="Q101">
        <v>115.59</v>
      </c>
      <c r="R101" s="32">
        <v>20</v>
      </c>
      <c r="S101" s="32" t="s">
        <v>94</v>
      </c>
      <c r="T101" s="32" t="s">
        <v>670</v>
      </c>
      <c r="U101" t="s">
        <v>671</v>
      </c>
      <c r="V101" t="s">
        <v>672</v>
      </c>
      <c r="W101">
        <v>45653</v>
      </c>
      <c r="X101" t="s">
        <v>569</v>
      </c>
      <c r="Y101" t="s">
        <v>112</v>
      </c>
      <c r="Z101" t="s">
        <v>89</v>
      </c>
      <c r="AB101" t="s">
        <v>673</v>
      </c>
      <c r="AC101" s="23">
        <v>43369</v>
      </c>
    </row>
    <row r="102" spans="1:29" hidden="1" x14ac:dyDescent="0.25">
      <c r="A102">
        <v>441</v>
      </c>
      <c r="B102">
        <v>0</v>
      </c>
      <c r="C102" s="32" t="s">
        <v>674</v>
      </c>
      <c r="D102" s="32" t="s">
        <v>11</v>
      </c>
      <c r="E102" t="s">
        <v>92</v>
      </c>
      <c r="F102">
        <v>736</v>
      </c>
      <c r="G102" s="33">
        <v>27267</v>
      </c>
      <c r="H102" s="33">
        <v>42497</v>
      </c>
      <c r="I102" s="23">
        <v>43064</v>
      </c>
      <c r="J102" t="s">
        <v>81</v>
      </c>
      <c r="K102" t="s">
        <v>82</v>
      </c>
      <c r="L102" s="32">
        <v>12947171026</v>
      </c>
      <c r="M102" s="32" t="s">
        <v>2406</v>
      </c>
      <c r="N102" s="32" t="s">
        <v>675</v>
      </c>
      <c r="O102">
        <v>110.59</v>
      </c>
      <c r="P102">
        <v>115.59</v>
      </c>
      <c r="Q102">
        <v>115.59</v>
      </c>
      <c r="R102" s="32">
        <v>20</v>
      </c>
      <c r="S102" s="32" t="s">
        <v>94</v>
      </c>
      <c r="T102" s="32">
        <v>33454344</v>
      </c>
      <c r="U102" t="s">
        <v>676</v>
      </c>
      <c r="V102" t="s">
        <v>677</v>
      </c>
      <c r="W102">
        <v>44810</v>
      </c>
      <c r="X102" t="s">
        <v>500</v>
      </c>
      <c r="Y102" t="s">
        <v>112</v>
      </c>
      <c r="Z102" t="s">
        <v>89</v>
      </c>
      <c r="AB102" t="s">
        <v>678</v>
      </c>
      <c r="AC102" s="23">
        <v>43140</v>
      </c>
    </row>
    <row r="103" spans="1:29" hidden="1" x14ac:dyDescent="0.25">
      <c r="A103">
        <v>442</v>
      </c>
      <c r="B103">
        <v>0</v>
      </c>
      <c r="C103" s="32" t="s">
        <v>679</v>
      </c>
      <c r="D103" s="32" t="s">
        <v>11</v>
      </c>
      <c r="E103" t="s">
        <v>92</v>
      </c>
      <c r="F103">
        <v>737</v>
      </c>
      <c r="G103" s="33">
        <v>28990</v>
      </c>
      <c r="H103" s="33">
        <v>42497</v>
      </c>
      <c r="I103" s="23">
        <v>42549</v>
      </c>
      <c r="J103" t="s">
        <v>81</v>
      </c>
      <c r="K103" t="s">
        <v>82</v>
      </c>
      <c r="L103" s="32">
        <v>72947929807</v>
      </c>
      <c r="M103" s="32" t="s">
        <v>2407</v>
      </c>
      <c r="N103" s="32" t="s">
        <v>680</v>
      </c>
      <c r="O103">
        <v>110.59</v>
      </c>
      <c r="P103">
        <v>115.59</v>
      </c>
      <c r="Q103">
        <v>115.59</v>
      </c>
      <c r="R103" s="32">
        <v>20</v>
      </c>
      <c r="S103" s="32" t="s">
        <v>681</v>
      </c>
      <c r="T103" s="32">
        <v>7471127761</v>
      </c>
      <c r="U103" t="s">
        <v>682</v>
      </c>
      <c r="V103" t="s">
        <v>683</v>
      </c>
      <c r="W103">
        <v>39122</v>
      </c>
      <c r="X103" t="s">
        <v>316</v>
      </c>
      <c r="Y103" t="s">
        <v>193</v>
      </c>
      <c r="Z103" t="s">
        <v>89</v>
      </c>
      <c r="AB103" t="s">
        <v>684</v>
      </c>
      <c r="AC103" s="23">
        <v>43140</v>
      </c>
    </row>
    <row r="104" spans="1:29" hidden="1" x14ac:dyDescent="0.25">
      <c r="A104">
        <v>443</v>
      </c>
      <c r="B104">
        <v>0</v>
      </c>
      <c r="C104" s="32" t="s">
        <v>685</v>
      </c>
      <c r="D104" s="32" t="s">
        <v>11</v>
      </c>
      <c r="F104">
        <v>740</v>
      </c>
      <c r="G104" s="33">
        <v>26238</v>
      </c>
      <c r="H104" s="33">
        <v>42500</v>
      </c>
      <c r="I104" s="23">
        <v>42500</v>
      </c>
      <c r="J104" t="s">
        <v>81</v>
      </c>
      <c r="K104" t="s">
        <v>82</v>
      </c>
      <c r="L104" s="32">
        <v>16897142895</v>
      </c>
      <c r="M104" s="32" t="s">
        <v>2408</v>
      </c>
      <c r="N104" s="32" t="s">
        <v>686</v>
      </c>
      <c r="O104">
        <v>110.59</v>
      </c>
      <c r="P104">
        <v>115.59</v>
      </c>
      <c r="Q104" t="s">
        <v>9</v>
      </c>
      <c r="R104" s="32">
        <v>20</v>
      </c>
      <c r="S104" s="32" t="s">
        <v>94</v>
      </c>
      <c r="T104" s="32" t="s">
        <v>687</v>
      </c>
      <c r="U104" t="s">
        <v>688</v>
      </c>
      <c r="V104" t="s">
        <v>689</v>
      </c>
      <c r="W104">
        <v>50740</v>
      </c>
      <c r="X104" t="s">
        <v>690</v>
      </c>
      <c r="Y104" t="s">
        <v>223</v>
      </c>
      <c r="Z104" t="s">
        <v>89</v>
      </c>
      <c r="AB104" t="s">
        <v>691</v>
      </c>
      <c r="AC104" s="23">
        <v>43142</v>
      </c>
    </row>
    <row r="105" spans="1:29" hidden="1" x14ac:dyDescent="0.25">
      <c r="A105">
        <v>444</v>
      </c>
      <c r="B105">
        <v>0</v>
      </c>
      <c r="C105" s="32" t="s">
        <v>692</v>
      </c>
      <c r="D105" s="32" t="s">
        <v>11</v>
      </c>
      <c r="F105">
        <v>741</v>
      </c>
      <c r="G105" s="33">
        <v>27360</v>
      </c>
      <c r="H105" s="33">
        <v>42501</v>
      </c>
      <c r="I105" s="23">
        <v>42501</v>
      </c>
      <c r="J105" t="s">
        <v>81</v>
      </c>
      <c r="K105" t="s">
        <v>82</v>
      </c>
      <c r="L105" s="32">
        <v>12897424011</v>
      </c>
      <c r="M105" s="32" t="s">
        <v>2409</v>
      </c>
      <c r="N105" s="32" t="s">
        <v>693</v>
      </c>
      <c r="O105">
        <v>110.59</v>
      </c>
      <c r="P105">
        <v>115.59</v>
      </c>
      <c r="Q105" t="s">
        <v>9</v>
      </c>
      <c r="R105" s="32">
        <v>20</v>
      </c>
      <c r="S105" s="32" t="s">
        <v>94</v>
      </c>
      <c r="T105" s="32" t="s">
        <v>694</v>
      </c>
      <c r="U105" t="s">
        <v>695</v>
      </c>
      <c r="V105" t="s">
        <v>696</v>
      </c>
      <c r="W105">
        <v>38010</v>
      </c>
      <c r="X105" t="s">
        <v>697</v>
      </c>
      <c r="Y105" t="s">
        <v>601</v>
      </c>
      <c r="Z105" t="s">
        <v>89</v>
      </c>
      <c r="AB105" t="s">
        <v>698</v>
      </c>
      <c r="AC105" s="23">
        <v>43084</v>
      </c>
    </row>
    <row r="106" spans="1:29" hidden="1" x14ac:dyDescent="0.25">
      <c r="A106">
        <v>445</v>
      </c>
      <c r="B106">
        <v>0</v>
      </c>
      <c r="C106" s="32" t="s">
        <v>699</v>
      </c>
      <c r="D106" s="32" t="s">
        <v>11</v>
      </c>
      <c r="F106">
        <v>66</v>
      </c>
      <c r="G106" s="33">
        <v>26034</v>
      </c>
      <c r="H106" s="33">
        <v>42447</v>
      </c>
      <c r="I106" s="23">
        <v>42447</v>
      </c>
      <c r="J106" t="s">
        <v>81</v>
      </c>
      <c r="K106" t="s">
        <v>82</v>
      </c>
      <c r="L106" s="32">
        <v>72877153790</v>
      </c>
      <c r="M106" s="32" t="s">
        <v>2410</v>
      </c>
      <c r="N106" s="32" t="s">
        <v>700</v>
      </c>
      <c r="O106">
        <v>125</v>
      </c>
      <c r="P106">
        <v>130.65</v>
      </c>
      <c r="Q106">
        <v>0</v>
      </c>
      <c r="R106" s="32">
        <v>20</v>
      </c>
      <c r="S106" s="32" t="s">
        <v>94</v>
      </c>
      <c r="T106" s="32"/>
      <c r="U106" t="s">
        <v>701</v>
      </c>
      <c r="V106" t="s">
        <v>702</v>
      </c>
      <c r="W106">
        <v>39300</v>
      </c>
      <c r="X106" t="s">
        <v>192</v>
      </c>
      <c r="Y106" t="s">
        <v>193</v>
      </c>
      <c r="Z106" t="s">
        <v>89</v>
      </c>
      <c r="AB106" t="s">
        <v>703</v>
      </c>
      <c r="AC106" s="23">
        <v>43344</v>
      </c>
    </row>
    <row r="107" spans="1:29" hidden="1" x14ac:dyDescent="0.25">
      <c r="A107">
        <v>446</v>
      </c>
      <c r="B107">
        <v>0</v>
      </c>
      <c r="C107" s="32" t="s">
        <v>704</v>
      </c>
      <c r="D107" s="32" t="s">
        <v>11</v>
      </c>
      <c r="E107" t="s">
        <v>705</v>
      </c>
      <c r="F107">
        <v>684</v>
      </c>
      <c r="G107" s="33">
        <v>25754</v>
      </c>
      <c r="H107" s="33">
        <v>42440</v>
      </c>
      <c r="I107" s="23">
        <v>42440</v>
      </c>
      <c r="J107" t="s">
        <v>81</v>
      </c>
      <c r="K107" t="s">
        <v>82</v>
      </c>
      <c r="L107" s="32">
        <v>21877006580</v>
      </c>
      <c r="M107" s="32" t="s">
        <v>706</v>
      </c>
      <c r="N107" s="32" t="s">
        <v>707</v>
      </c>
      <c r="O107">
        <v>110.59</v>
      </c>
      <c r="P107">
        <v>115.59</v>
      </c>
      <c r="Q107">
        <v>0</v>
      </c>
      <c r="R107" s="32">
        <v>17</v>
      </c>
      <c r="S107" s="32" t="s">
        <v>94</v>
      </c>
      <c r="T107" s="32">
        <v>456644361015</v>
      </c>
      <c r="U107" t="s">
        <v>708</v>
      </c>
      <c r="V107" t="s">
        <v>709</v>
      </c>
      <c r="W107">
        <v>22206</v>
      </c>
      <c r="X107" t="s">
        <v>180</v>
      </c>
      <c r="Y107" t="s">
        <v>181</v>
      </c>
      <c r="Z107" t="s">
        <v>89</v>
      </c>
      <c r="AA107" t="s">
        <v>710</v>
      </c>
      <c r="AB107" t="s">
        <v>711</v>
      </c>
      <c r="AC107" s="23">
        <v>43479</v>
      </c>
    </row>
    <row r="108" spans="1:29" hidden="1" x14ac:dyDescent="0.25">
      <c r="A108">
        <v>447</v>
      </c>
      <c r="B108">
        <v>0</v>
      </c>
      <c r="C108" s="32" t="s">
        <v>712</v>
      </c>
      <c r="D108" s="32" t="s">
        <v>11</v>
      </c>
      <c r="E108" t="s">
        <v>92</v>
      </c>
      <c r="F108">
        <v>714</v>
      </c>
      <c r="G108" s="33">
        <v>28801</v>
      </c>
      <c r="H108" s="33">
        <v>43007</v>
      </c>
      <c r="I108" s="23">
        <v>43007</v>
      </c>
      <c r="J108" t="s">
        <v>81</v>
      </c>
      <c r="K108" t="s">
        <v>82</v>
      </c>
      <c r="L108" s="32">
        <v>24997813746</v>
      </c>
      <c r="M108" s="32" t="s">
        <v>713</v>
      </c>
      <c r="N108" s="32" t="s">
        <v>714</v>
      </c>
      <c r="O108">
        <v>110.59</v>
      </c>
      <c r="P108">
        <v>115.59</v>
      </c>
      <c r="Q108">
        <v>115.59</v>
      </c>
      <c r="R108" s="32">
        <v>7</v>
      </c>
      <c r="S108" s="32" t="s">
        <v>94</v>
      </c>
      <c r="T108" s="32">
        <v>6442064744</v>
      </c>
      <c r="U108" t="s">
        <v>715</v>
      </c>
      <c r="V108" t="s">
        <v>716</v>
      </c>
      <c r="W108">
        <v>85064</v>
      </c>
      <c r="X108" t="s">
        <v>717</v>
      </c>
      <c r="Y108" t="s">
        <v>161</v>
      </c>
      <c r="Z108" t="s">
        <v>89</v>
      </c>
      <c r="AC108" s="23">
        <v>43007</v>
      </c>
    </row>
    <row r="109" spans="1:29" hidden="1" x14ac:dyDescent="0.25">
      <c r="A109">
        <v>448</v>
      </c>
      <c r="B109">
        <v>0</v>
      </c>
      <c r="C109" s="32" t="s">
        <v>718</v>
      </c>
      <c r="D109" s="32" t="s">
        <v>11</v>
      </c>
      <c r="E109" t="s">
        <v>719</v>
      </c>
      <c r="F109">
        <v>713</v>
      </c>
      <c r="G109" s="33">
        <v>25175</v>
      </c>
      <c r="H109" s="33">
        <v>42482</v>
      </c>
      <c r="I109" s="23">
        <v>42482</v>
      </c>
      <c r="J109" t="s">
        <v>81</v>
      </c>
      <c r="K109" t="s">
        <v>82</v>
      </c>
      <c r="L109" s="32">
        <v>24846655397</v>
      </c>
      <c r="M109" s="32" t="s">
        <v>720</v>
      </c>
      <c r="N109" s="32" t="s">
        <v>721</v>
      </c>
      <c r="O109">
        <v>110.59</v>
      </c>
      <c r="P109">
        <v>115.59</v>
      </c>
      <c r="Q109">
        <v>804.2</v>
      </c>
      <c r="R109" s="32">
        <v>7</v>
      </c>
      <c r="S109" s="32" t="s">
        <v>94</v>
      </c>
      <c r="T109" s="32">
        <v>6444623831</v>
      </c>
      <c r="U109" t="s">
        <v>722</v>
      </c>
      <c r="V109" t="s">
        <v>723</v>
      </c>
      <c r="W109">
        <v>85110</v>
      </c>
      <c r="X109" t="s">
        <v>724</v>
      </c>
      <c r="Y109" t="s">
        <v>161</v>
      </c>
      <c r="Z109" t="s">
        <v>89</v>
      </c>
      <c r="AC109" s="23">
        <v>42670</v>
      </c>
    </row>
    <row r="110" spans="1:29" hidden="1" x14ac:dyDescent="0.25">
      <c r="A110">
        <v>449</v>
      </c>
      <c r="B110" t="s">
        <v>9</v>
      </c>
      <c r="C110" s="32" t="s">
        <v>725</v>
      </c>
      <c r="D110" s="32" t="s">
        <v>79</v>
      </c>
      <c r="E110" t="s">
        <v>202</v>
      </c>
      <c r="F110">
        <v>770</v>
      </c>
      <c r="G110" s="33">
        <v>27815</v>
      </c>
      <c r="H110" s="33">
        <v>42580</v>
      </c>
      <c r="I110" s="23">
        <v>42684</v>
      </c>
      <c r="J110" t="s">
        <v>81</v>
      </c>
      <c r="K110" t="s">
        <v>82</v>
      </c>
      <c r="L110" s="32">
        <v>92977602652</v>
      </c>
      <c r="M110" s="32" t="s">
        <v>726</v>
      </c>
      <c r="N110" s="32" t="s">
        <v>727</v>
      </c>
      <c r="O110">
        <v>110.59</v>
      </c>
      <c r="P110">
        <v>115.59</v>
      </c>
      <c r="Q110">
        <v>115.59</v>
      </c>
      <c r="R110" s="32">
        <v>20</v>
      </c>
      <c r="S110" s="32" t="s">
        <v>94</v>
      </c>
      <c r="T110" s="32" t="s">
        <v>728</v>
      </c>
      <c r="U110" t="s">
        <v>729</v>
      </c>
      <c r="V110" t="s">
        <v>730</v>
      </c>
      <c r="W110">
        <v>94450</v>
      </c>
      <c r="X110" t="s">
        <v>731</v>
      </c>
      <c r="Y110" t="s">
        <v>98</v>
      </c>
      <c r="Z110" t="s">
        <v>89</v>
      </c>
      <c r="AC110" s="23">
        <v>42901</v>
      </c>
    </row>
    <row r="111" spans="1:29" hidden="1" x14ac:dyDescent="0.25">
      <c r="A111">
        <v>450</v>
      </c>
      <c r="B111" t="s">
        <v>9</v>
      </c>
      <c r="C111" s="32" t="s">
        <v>732</v>
      </c>
      <c r="D111" s="32" t="s">
        <v>11</v>
      </c>
      <c r="E111" t="s">
        <v>92</v>
      </c>
      <c r="F111">
        <v>783</v>
      </c>
      <c r="G111" s="33">
        <v>29501</v>
      </c>
      <c r="H111" s="33">
        <v>42636</v>
      </c>
      <c r="I111" s="23">
        <v>42684</v>
      </c>
      <c r="J111" t="s">
        <v>81</v>
      </c>
      <c r="K111" t="s">
        <v>82</v>
      </c>
      <c r="L111" s="32">
        <v>92998055476</v>
      </c>
      <c r="M111" s="32" t="s">
        <v>733</v>
      </c>
      <c r="N111" s="32" t="s">
        <v>734</v>
      </c>
      <c r="O111">
        <v>110.59</v>
      </c>
      <c r="P111">
        <v>115.59</v>
      </c>
      <c r="Q111">
        <v>115.59</v>
      </c>
      <c r="R111" s="32">
        <v>20</v>
      </c>
      <c r="S111" s="32" t="s">
        <v>94</v>
      </c>
      <c r="T111" s="32">
        <v>25850020</v>
      </c>
      <c r="U111" t="s">
        <v>735</v>
      </c>
      <c r="V111" t="s">
        <v>736</v>
      </c>
      <c r="W111">
        <v>55024</v>
      </c>
      <c r="X111" t="s">
        <v>240</v>
      </c>
      <c r="Y111" t="s">
        <v>88</v>
      </c>
      <c r="Z111" t="s">
        <v>89</v>
      </c>
      <c r="AC111" s="23">
        <v>43471</v>
      </c>
    </row>
    <row r="112" spans="1:29" hidden="1" x14ac:dyDescent="0.25">
      <c r="A112">
        <v>451</v>
      </c>
      <c r="B112" t="s">
        <v>9</v>
      </c>
      <c r="C112" s="32" t="s">
        <v>737</v>
      </c>
      <c r="D112" s="32" t="s">
        <v>11</v>
      </c>
      <c r="E112" t="s">
        <v>92</v>
      </c>
      <c r="F112">
        <v>782</v>
      </c>
      <c r="G112" s="33">
        <v>26646</v>
      </c>
      <c r="H112" s="33">
        <v>42636</v>
      </c>
      <c r="I112" s="23">
        <v>42684</v>
      </c>
      <c r="J112" t="s">
        <v>81</v>
      </c>
      <c r="K112" t="s">
        <v>82</v>
      </c>
      <c r="L112" s="32">
        <v>15967203926</v>
      </c>
      <c r="M112" s="32" t="s">
        <v>738</v>
      </c>
      <c r="N112" s="32" t="s">
        <v>739</v>
      </c>
      <c r="O112">
        <v>110.59</v>
      </c>
      <c r="P112">
        <v>115.59</v>
      </c>
      <c r="Q112">
        <v>115.59</v>
      </c>
      <c r="R112" s="32">
        <v>20</v>
      </c>
      <c r="S112" s="32" t="s">
        <v>94</v>
      </c>
      <c r="T112" s="32" t="s">
        <v>740</v>
      </c>
      <c r="U112" t="s">
        <v>741</v>
      </c>
      <c r="V112" t="s">
        <v>742</v>
      </c>
      <c r="W112">
        <v>56618</v>
      </c>
      <c r="X112" t="s">
        <v>743</v>
      </c>
      <c r="Y112" t="s">
        <v>88</v>
      </c>
      <c r="Z112" t="s">
        <v>89</v>
      </c>
      <c r="AC112" s="23">
        <v>43471</v>
      </c>
    </row>
    <row r="113" spans="1:29" hidden="1" x14ac:dyDescent="0.25">
      <c r="A113">
        <v>452</v>
      </c>
      <c r="B113" t="s">
        <v>9</v>
      </c>
      <c r="C113" s="32" t="s">
        <v>744</v>
      </c>
      <c r="D113" s="32" t="s">
        <v>79</v>
      </c>
      <c r="E113" t="s">
        <v>120</v>
      </c>
      <c r="F113">
        <v>679</v>
      </c>
      <c r="G113" s="33">
        <v>31256</v>
      </c>
      <c r="H113" s="33">
        <v>42437</v>
      </c>
      <c r="I113" s="23">
        <v>43140</v>
      </c>
      <c r="J113" t="s">
        <v>81</v>
      </c>
      <c r="K113" t="s">
        <v>82</v>
      </c>
      <c r="L113" s="32">
        <v>72068521326</v>
      </c>
      <c r="M113" s="32" t="s">
        <v>745</v>
      </c>
      <c r="N113" s="32" t="s">
        <v>746</v>
      </c>
      <c r="O113">
        <v>110.59</v>
      </c>
      <c r="P113">
        <v>115.59</v>
      </c>
      <c r="Q113">
        <v>115.59</v>
      </c>
      <c r="R113" s="32">
        <v>20</v>
      </c>
      <c r="S113" s="32" t="s">
        <v>204</v>
      </c>
      <c r="T113" s="32" t="s">
        <v>747</v>
      </c>
      <c r="U113" t="s">
        <v>748</v>
      </c>
      <c r="V113" t="s">
        <v>749</v>
      </c>
      <c r="W113">
        <v>39713</v>
      </c>
      <c r="X113" t="s">
        <v>192</v>
      </c>
      <c r="Y113" t="s">
        <v>193</v>
      </c>
      <c r="Z113" t="s">
        <v>89</v>
      </c>
      <c r="AC113" s="23">
        <v>43231</v>
      </c>
    </row>
    <row r="114" spans="1:29" hidden="1" x14ac:dyDescent="0.25">
      <c r="A114">
        <v>453</v>
      </c>
      <c r="B114" t="s">
        <v>9</v>
      </c>
      <c r="C114" s="32" t="s">
        <v>750</v>
      </c>
      <c r="D114" s="32" t="s">
        <v>79</v>
      </c>
      <c r="E114" t="s">
        <v>202</v>
      </c>
      <c r="F114">
        <v>793</v>
      </c>
      <c r="G114" s="33">
        <v>25967</v>
      </c>
      <c r="H114" s="33">
        <v>42675</v>
      </c>
      <c r="I114" s="23">
        <v>42901</v>
      </c>
      <c r="J114" t="s">
        <v>81</v>
      </c>
      <c r="K114" t="s">
        <v>82</v>
      </c>
      <c r="L114" s="32">
        <v>92907131459</v>
      </c>
      <c r="M114" s="32" t="s">
        <v>751</v>
      </c>
      <c r="N114" s="32" t="s">
        <v>752</v>
      </c>
      <c r="O114">
        <v>110.59</v>
      </c>
      <c r="P114">
        <v>115.59</v>
      </c>
      <c r="Q114">
        <v>115.59</v>
      </c>
      <c r="R114" s="32">
        <v>20</v>
      </c>
      <c r="S114" s="32" t="s">
        <v>94</v>
      </c>
      <c r="T114" s="32" t="s">
        <v>753</v>
      </c>
      <c r="U114" t="s">
        <v>754</v>
      </c>
      <c r="V114" t="s">
        <v>755</v>
      </c>
      <c r="W114">
        <v>54935</v>
      </c>
      <c r="X114" t="s">
        <v>756</v>
      </c>
      <c r="Y114" t="s">
        <v>88</v>
      </c>
      <c r="Z114" t="s">
        <v>89</v>
      </c>
      <c r="AC114" s="23">
        <v>42901</v>
      </c>
    </row>
    <row r="115" spans="1:29" hidden="1" x14ac:dyDescent="0.25">
      <c r="A115">
        <v>454</v>
      </c>
      <c r="B115" t="s">
        <v>9</v>
      </c>
      <c r="C115" s="32" t="s">
        <v>757</v>
      </c>
      <c r="D115" s="32" t="s">
        <v>11</v>
      </c>
      <c r="E115" t="s">
        <v>92</v>
      </c>
      <c r="F115">
        <v>727</v>
      </c>
      <c r="G115" s="33">
        <v>27856</v>
      </c>
      <c r="H115" s="33">
        <v>42492</v>
      </c>
      <c r="I115" s="23">
        <v>42684</v>
      </c>
      <c r="J115" t="s">
        <v>81</v>
      </c>
      <c r="K115" t="s">
        <v>82</v>
      </c>
      <c r="L115" s="32">
        <v>92937590807</v>
      </c>
      <c r="M115" s="32" t="s">
        <v>758</v>
      </c>
      <c r="N115" s="32" t="s">
        <v>759</v>
      </c>
      <c r="O115">
        <v>110.59</v>
      </c>
      <c r="P115">
        <v>115.59</v>
      </c>
      <c r="Q115">
        <v>115.59</v>
      </c>
      <c r="R115" s="32">
        <v>20</v>
      </c>
      <c r="S115" s="32" t="s">
        <v>94</v>
      </c>
      <c r="T115" s="32" t="s">
        <v>760</v>
      </c>
      <c r="U115" t="s">
        <v>761</v>
      </c>
      <c r="V115" t="s">
        <v>762</v>
      </c>
      <c r="W115">
        <v>54477</v>
      </c>
      <c r="X115" t="s">
        <v>763</v>
      </c>
      <c r="Y115" t="s">
        <v>88</v>
      </c>
      <c r="Z115" t="s">
        <v>89</v>
      </c>
      <c r="AC115" s="23">
        <v>43140</v>
      </c>
    </row>
    <row r="116" spans="1:29" hidden="1" x14ac:dyDescent="0.25">
      <c r="A116">
        <v>455</v>
      </c>
      <c r="B116" t="s">
        <v>9</v>
      </c>
      <c r="C116" s="32" t="s">
        <v>764</v>
      </c>
      <c r="D116" s="32" t="s">
        <v>79</v>
      </c>
      <c r="E116" t="s">
        <v>202</v>
      </c>
      <c r="F116">
        <v>722</v>
      </c>
      <c r="G116" s="33">
        <v>23988</v>
      </c>
      <c r="H116" s="33">
        <v>42488</v>
      </c>
      <c r="I116" s="23">
        <v>42684</v>
      </c>
      <c r="J116" t="s">
        <v>81</v>
      </c>
      <c r="K116" t="s">
        <v>82</v>
      </c>
      <c r="L116" s="32">
        <v>67906515100</v>
      </c>
      <c r="M116" s="32" t="s">
        <v>765</v>
      </c>
      <c r="N116" s="32" t="s">
        <v>766</v>
      </c>
      <c r="O116">
        <v>110.59</v>
      </c>
      <c r="P116">
        <v>115.59</v>
      </c>
      <c r="Q116">
        <v>115.59</v>
      </c>
      <c r="R116" s="32">
        <v>20</v>
      </c>
      <c r="S116" s="32" t="s">
        <v>204</v>
      </c>
      <c r="T116" s="32" t="s">
        <v>767</v>
      </c>
      <c r="U116" t="s">
        <v>768</v>
      </c>
      <c r="V116" t="s">
        <v>769</v>
      </c>
      <c r="W116">
        <v>95300</v>
      </c>
      <c r="X116" t="s">
        <v>770</v>
      </c>
      <c r="Y116" t="s">
        <v>98</v>
      </c>
      <c r="Z116" t="s">
        <v>89</v>
      </c>
      <c r="AC116" s="23">
        <v>42901</v>
      </c>
    </row>
    <row r="117" spans="1:29" hidden="1" x14ac:dyDescent="0.25">
      <c r="A117">
        <v>457</v>
      </c>
      <c r="B117" t="s">
        <v>9</v>
      </c>
      <c r="C117" s="32" t="s">
        <v>771</v>
      </c>
      <c r="D117" s="32" t="s">
        <v>11</v>
      </c>
      <c r="E117" t="s">
        <v>92</v>
      </c>
      <c r="F117">
        <v>328</v>
      </c>
      <c r="G117" s="33">
        <v>26314</v>
      </c>
      <c r="H117" s="33">
        <v>42522</v>
      </c>
      <c r="I117" s="23">
        <v>42684</v>
      </c>
      <c r="J117" t="s">
        <v>81</v>
      </c>
      <c r="K117" t="s">
        <v>82</v>
      </c>
      <c r="L117" s="32">
        <v>33897296670</v>
      </c>
      <c r="M117" s="32" t="s">
        <v>772</v>
      </c>
      <c r="N117" s="32" t="s">
        <v>773</v>
      </c>
      <c r="O117">
        <v>110.59</v>
      </c>
      <c r="P117">
        <v>115.59</v>
      </c>
      <c r="Q117">
        <v>115.59</v>
      </c>
      <c r="R117" s="32">
        <v>20</v>
      </c>
      <c r="S117" s="32" t="s">
        <v>94</v>
      </c>
      <c r="T117" s="32" t="s">
        <v>774</v>
      </c>
      <c r="U117" t="s">
        <v>775</v>
      </c>
      <c r="V117" t="s">
        <v>776</v>
      </c>
      <c r="W117">
        <v>56530</v>
      </c>
      <c r="X117" t="s">
        <v>428</v>
      </c>
      <c r="Y117" t="s">
        <v>223</v>
      </c>
      <c r="Z117" t="s">
        <v>89</v>
      </c>
      <c r="AC117" s="23">
        <v>43140</v>
      </c>
    </row>
    <row r="118" spans="1:29" hidden="1" x14ac:dyDescent="0.25">
      <c r="A118">
        <v>458</v>
      </c>
      <c r="B118" t="s">
        <v>9</v>
      </c>
      <c r="C118" s="32" t="s">
        <v>777</v>
      </c>
      <c r="D118" s="32" t="s">
        <v>79</v>
      </c>
      <c r="E118" t="s">
        <v>92</v>
      </c>
      <c r="F118">
        <v>681</v>
      </c>
      <c r="G118" s="33">
        <v>27235</v>
      </c>
      <c r="H118" s="33">
        <v>42440</v>
      </c>
      <c r="I118" s="23">
        <v>42684</v>
      </c>
      <c r="J118" t="s">
        <v>81</v>
      </c>
      <c r="K118" t="s">
        <v>82</v>
      </c>
      <c r="L118" s="32">
        <v>92917404763</v>
      </c>
      <c r="M118" s="32" t="s">
        <v>778</v>
      </c>
      <c r="N118" s="32" t="s">
        <v>779</v>
      </c>
      <c r="O118">
        <v>110.59</v>
      </c>
      <c r="P118">
        <v>115.59</v>
      </c>
      <c r="Q118">
        <v>115.59</v>
      </c>
      <c r="R118" s="32">
        <v>20</v>
      </c>
      <c r="S118" s="32" t="s">
        <v>94</v>
      </c>
      <c r="T118" s="32" t="s">
        <v>780</v>
      </c>
      <c r="U118" t="s">
        <v>781</v>
      </c>
      <c r="V118" t="s">
        <v>782</v>
      </c>
      <c r="W118">
        <v>54140</v>
      </c>
      <c r="X118" t="s">
        <v>125</v>
      </c>
      <c r="Y118" t="s">
        <v>88</v>
      </c>
      <c r="Z118" t="s">
        <v>89</v>
      </c>
      <c r="AC118" s="23">
        <v>43701</v>
      </c>
    </row>
    <row r="119" spans="1:29" hidden="1" x14ac:dyDescent="0.25">
      <c r="A119">
        <v>459</v>
      </c>
      <c r="B119" t="s">
        <v>9</v>
      </c>
      <c r="C119" s="32" t="s">
        <v>783</v>
      </c>
      <c r="D119" s="32" t="s">
        <v>11</v>
      </c>
      <c r="E119" t="s">
        <v>92</v>
      </c>
      <c r="F119">
        <v>716</v>
      </c>
      <c r="G119" s="33">
        <v>29720</v>
      </c>
      <c r="H119" s="33">
        <v>42483</v>
      </c>
      <c r="I119" s="23">
        <v>42684</v>
      </c>
      <c r="J119" t="s">
        <v>81</v>
      </c>
      <c r="K119" t="s">
        <v>82</v>
      </c>
      <c r="L119" s="32">
        <v>83978137327</v>
      </c>
      <c r="M119" s="32" t="s">
        <v>784</v>
      </c>
      <c r="N119" s="32" t="s">
        <v>785</v>
      </c>
      <c r="O119">
        <v>110.59</v>
      </c>
      <c r="P119">
        <v>115.59</v>
      </c>
      <c r="Q119">
        <v>115.59</v>
      </c>
      <c r="R119" s="32">
        <v>20</v>
      </c>
      <c r="S119" s="32" t="s">
        <v>94</v>
      </c>
      <c r="T119" s="32" t="s">
        <v>786</v>
      </c>
      <c r="U119" t="s">
        <v>787</v>
      </c>
      <c r="V119" t="s">
        <v>788</v>
      </c>
      <c r="W119">
        <v>86019</v>
      </c>
      <c r="X119" t="s">
        <v>104</v>
      </c>
      <c r="Y119" t="s">
        <v>105</v>
      </c>
      <c r="Z119" t="s">
        <v>89</v>
      </c>
      <c r="AC119" s="23">
        <v>43140</v>
      </c>
    </row>
    <row r="120" spans="1:29" hidden="1" x14ac:dyDescent="0.25">
      <c r="A120">
        <v>460</v>
      </c>
      <c r="B120" t="s">
        <v>9</v>
      </c>
      <c r="C120" s="32" t="s">
        <v>789</v>
      </c>
      <c r="D120" s="32" t="s">
        <v>11</v>
      </c>
      <c r="E120" t="s">
        <v>92</v>
      </c>
      <c r="F120">
        <v>676</v>
      </c>
      <c r="G120" s="33">
        <v>31126</v>
      </c>
      <c r="H120" s="33">
        <v>42427</v>
      </c>
      <c r="I120" s="23">
        <v>42684</v>
      </c>
      <c r="J120" t="s">
        <v>81</v>
      </c>
      <c r="K120" t="s">
        <v>82</v>
      </c>
      <c r="L120" s="32">
        <v>19148539950</v>
      </c>
      <c r="M120" s="32" t="s">
        <v>790</v>
      </c>
      <c r="N120" s="32" t="s">
        <v>791</v>
      </c>
      <c r="O120">
        <v>110.59</v>
      </c>
      <c r="P120">
        <v>115.59</v>
      </c>
      <c r="Q120">
        <v>115.59</v>
      </c>
      <c r="R120" s="32">
        <v>20</v>
      </c>
      <c r="S120" s="32" t="s">
        <v>94</v>
      </c>
      <c r="T120" s="32">
        <v>49891134</v>
      </c>
      <c r="U120" t="s">
        <v>792</v>
      </c>
      <c r="V120" t="s">
        <v>793</v>
      </c>
      <c r="W120">
        <v>54680</v>
      </c>
      <c r="X120" t="s">
        <v>322</v>
      </c>
      <c r="Y120" t="s">
        <v>88</v>
      </c>
      <c r="Z120" t="s">
        <v>89</v>
      </c>
      <c r="AC120" s="23">
        <v>43140</v>
      </c>
    </row>
    <row r="121" spans="1:29" hidden="1" x14ac:dyDescent="0.25">
      <c r="A121">
        <v>461</v>
      </c>
      <c r="B121" t="s">
        <v>9</v>
      </c>
      <c r="C121" s="32" t="s">
        <v>794</v>
      </c>
      <c r="D121" s="32" t="s">
        <v>79</v>
      </c>
      <c r="E121" t="s">
        <v>202</v>
      </c>
      <c r="F121">
        <v>757</v>
      </c>
      <c r="G121" s="33">
        <v>28277</v>
      </c>
      <c r="H121" s="33">
        <v>42529</v>
      </c>
      <c r="I121" s="23">
        <v>42684</v>
      </c>
      <c r="J121" t="s">
        <v>81</v>
      </c>
      <c r="K121" t="s">
        <v>82</v>
      </c>
      <c r="L121" s="32">
        <v>65957733564</v>
      </c>
      <c r="M121" s="32" t="s">
        <v>795</v>
      </c>
      <c r="N121" s="32" t="s">
        <v>796</v>
      </c>
      <c r="O121">
        <v>110.59</v>
      </c>
      <c r="P121">
        <v>115.59</v>
      </c>
      <c r="Q121">
        <v>115.59</v>
      </c>
      <c r="R121" s="32">
        <v>20</v>
      </c>
      <c r="S121" s="32" t="s">
        <v>94</v>
      </c>
      <c r="T121" s="32" t="s">
        <v>797</v>
      </c>
      <c r="U121" t="s">
        <v>798</v>
      </c>
      <c r="V121" t="s">
        <v>799</v>
      </c>
      <c r="W121">
        <v>91697</v>
      </c>
      <c r="X121" t="s">
        <v>98</v>
      </c>
      <c r="Y121" t="s">
        <v>98</v>
      </c>
      <c r="Z121" t="s">
        <v>89</v>
      </c>
      <c r="AC121" s="23">
        <v>42901</v>
      </c>
    </row>
    <row r="122" spans="1:29" hidden="1" x14ac:dyDescent="0.25">
      <c r="A122">
        <v>462</v>
      </c>
      <c r="B122" t="s">
        <v>9</v>
      </c>
      <c r="C122" s="32" t="s">
        <v>800</v>
      </c>
      <c r="D122" s="32" t="s">
        <v>79</v>
      </c>
      <c r="E122" t="s">
        <v>92</v>
      </c>
      <c r="F122">
        <v>755</v>
      </c>
      <c r="G122" s="33">
        <v>28607</v>
      </c>
      <c r="H122" s="33">
        <v>42527</v>
      </c>
      <c r="I122" s="23">
        <v>42684</v>
      </c>
      <c r="J122" t="s">
        <v>81</v>
      </c>
      <c r="K122" t="s">
        <v>82</v>
      </c>
      <c r="L122" s="32">
        <v>16987823131</v>
      </c>
      <c r="M122" s="32" t="s">
        <v>801</v>
      </c>
      <c r="N122" s="32" t="s">
        <v>802</v>
      </c>
      <c r="O122">
        <v>110.59</v>
      </c>
      <c r="P122">
        <v>115.59</v>
      </c>
      <c r="Q122">
        <v>0</v>
      </c>
      <c r="R122" s="32">
        <v>20</v>
      </c>
      <c r="S122" s="32" t="s">
        <v>204</v>
      </c>
      <c r="T122" s="32" t="s">
        <v>803</v>
      </c>
      <c r="U122" t="s">
        <v>804</v>
      </c>
      <c r="V122" t="s">
        <v>805</v>
      </c>
      <c r="W122">
        <v>50940</v>
      </c>
      <c r="X122" t="s">
        <v>806</v>
      </c>
      <c r="Y122" t="s">
        <v>88</v>
      </c>
      <c r="Z122" t="s">
        <v>89</v>
      </c>
      <c r="AC122" s="23">
        <v>43069</v>
      </c>
    </row>
    <row r="123" spans="1:29" hidden="1" x14ac:dyDescent="0.25">
      <c r="A123">
        <v>463</v>
      </c>
      <c r="B123" t="s">
        <v>9</v>
      </c>
      <c r="C123" s="32" t="s">
        <v>807</v>
      </c>
      <c r="D123" s="32" t="s">
        <v>79</v>
      </c>
      <c r="E123" t="s">
        <v>92</v>
      </c>
      <c r="F123">
        <v>671</v>
      </c>
      <c r="G123" s="33">
        <v>26908</v>
      </c>
      <c r="H123" s="33">
        <v>42412</v>
      </c>
      <c r="I123" s="23">
        <v>42684</v>
      </c>
      <c r="J123" t="s">
        <v>81</v>
      </c>
      <c r="K123" t="s">
        <v>82</v>
      </c>
      <c r="L123" s="32">
        <v>20947301261</v>
      </c>
      <c r="M123" s="32" t="s">
        <v>808</v>
      </c>
      <c r="N123" s="32" t="s">
        <v>809</v>
      </c>
      <c r="O123">
        <v>110.59</v>
      </c>
      <c r="P123">
        <v>115.59</v>
      </c>
      <c r="Q123">
        <v>115.59</v>
      </c>
      <c r="R123" s="32">
        <v>20</v>
      </c>
      <c r="S123" s="32" t="s">
        <v>94</v>
      </c>
      <c r="T123" s="32" t="s">
        <v>810</v>
      </c>
      <c r="U123" t="s">
        <v>811</v>
      </c>
      <c r="V123" t="s">
        <v>812</v>
      </c>
      <c r="W123">
        <v>54240</v>
      </c>
      <c r="X123" t="s">
        <v>813</v>
      </c>
      <c r="Y123" t="s">
        <v>88</v>
      </c>
      <c r="Z123" t="s">
        <v>89</v>
      </c>
      <c r="AC123" s="23">
        <v>43042</v>
      </c>
    </row>
    <row r="124" spans="1:29" hidden="1" x14ac:dyDescent="0.25">
      <c r="A124">
        <v>464</v>
      </c>
      <c r="B124" t="s">
        <v>9</v>
      </c>
      <c r="C124" s="32" t="s">
        <v>814</v>
      </c>
      <c r="D124" s="32" t="s">
        <v>79</v>
      </c>
      <c r="E124" t="s">
        <v>120</v>
      </c>
      <c r="F124">
        <v>788</v>
      </c>
      <c r="G124" s="33">
        <v>31736</v>
      </c>
      <c r="H124" s="33">
        <v>43077</v>
      </c>
      <c r="I124" s="23">
        <v>43475</v>
      </c>
      <c r="J124" t="s">
        <v>81</v>
      </c>
      <c r="K124" t="s">
        <v>82</v>
      </c>
      <c r="L124" s="32">
        <v>16058607140</v>
      </c>
      <c r="M124" s="32" t="s">
        <v>815</v>
      </c>
      <c r="N124" s="32" t="s">
        <v>816</v>
      </c>
      <c r="O124">
        <v>117.6</v>
      </c>
      <c r="P124">
        <v>122.92</v>
      </c>
      <c r="Q124">
        <v>122.92</v>
      </c>
      <c r="R124" s="32">
        <v>20</v>
      </c>
      <c r="S124" s="32" t="s">
        <v>649</v>
      </c>
      <c r="T124" s="32" t="s">
        <v>817</v>
      </c>
      <c r="U124" t="s">
        <v>818</v>
      </c>
      <c r="V124" t="s">
        <v>819</v>
      </c>
      <c r="W124">
        <v>50900</v>
      </c>
      <c r="X124" t="s">
        <v>806</v>
      </c>
      <c r="Y124" t="s">
        <v>88</v>
      </c>
      <c r="Z124" t="s">
        <v>89</v>
      </c>
      <c r="AB124" t="s">
        <v>820</v>
      </c>
      <c r="AC124" s="23">
        <v>43369</v>
      </c>
    </row>
    <row r="125" spans="1:29" hidden="1" x14ac:dyDescent="0.25">
      <c r="A125">
        <v>465</v>
      </c>
      <c r="B125" t="s">
        <v>9</v>
      </c>
      <c r="C125" s="32" t="s">
        <v>821</v>
      </c>
      <c r="D125" s="32" t="s">
        <v>11</v>
      </c>
      <c r="E125" t="s">
        <v>92</v>
      </c>
      <c r="F125">
        <v>686</v>
      </c>
      <c r="G125" s="33">
        <v>27346</v>
      </c>
      <c r="H125" s="33">
        <v>42448</v>
      </c>
      <c r="I125" s="23">
        <v>42684</v>
      </c>
      <c r="J125" t="s">
        <v>81</v>
      </c>
      <c r="K125" t="s">
        <v>82</v>
      </c>
      <c r="L125" s="32">
        <v>13907340452</v>
      </c>
      <c r="M125" s="32" t="s">
        <v>822</v>
      </c>
      <c r="N125" s="32" t="s">
        <v>823</v>
      </c>
      <c r="O125">
        <v>110.59</v>
      </c>
      <c r="P125">
        <v>115.59</v>
      </c>
      <c r="Q125">
        <v>115.59</v>
      </c>
      <c r="R125" s="32">
        <v>20</v>
      </c>
      <c r="S125" s="32" t="s">
        <v>94</v>
      </c>
      <c r="T125" s="32" t="s">
        <v>824</v>
      </c>
      <c r="U125" t="s">
        <v>825</v>
      </c>
      <c r="V125" t="s">
        <v>826</v>
      </c>
      <c r="W125">
        <v>54890</v>
      </c>
      <c r="X125" t="s">
        <v>827</v>
      </c>
      <c r="Y125" t="s">
        <v>88</v>
      </c>
      <c r="Z125" t="s">
        <v>89</v>
      </c>
      <c r="AC125" s="23">
        <v>43140</v>
      </c>
    </row>
    <row r="126" spans="1:29" hidden="1" x14ac:dyDescent="0.25">
      <c r="A126">
        <v>466</v>
      </c>
      <c r="B126" t="s">
        <v>9</v>
      </c>
      <c r="C126" s="32" t="s">
        <v>828</v>
      </c>
      <c r="D126" s="32" t="s">
        <v>11</v>
      </c>
      <c r="E126" t="s">
        <v>92</v>
      </c>
      <c r="F126">
        <v>742</v>
      </c>
      <c r="G126" s="33">
        <v>26300</v>
      </c>
      <c r="H126" s="33">
        <v>42504</v>
      </c>
      <c r="I126" s="23">
        <v>42684</v>
      </c>
      <c r="J126" t="s">
        <v>81</v>
      </c>
      <c r="K126" t="s">
        <v>82</v>
      </c>
      <c r="L126" s="32">
        <v>65927234677</v>
      </c>
      <c r="M126" s="32" t="s">
        <v>829</v>
      </c>
      <c r="N126" s="32" t="s">
        <v>830</v>
      </c>
      <c r="O126">
        <v>110.59</v>
      </c>
      <c r="P126">
        <v>115.59</v>
      </c>
      <c r="Q126">
        <v>115.59</v>
      </c>
      <c r="R126" s="32">
        <v>20</v>
      </c>
      <c r="S126" s="32" t="s">
        <v>94</v>
      </c>
      <c r="T126" s="32" t="s">
        <v>831</v>
      </c>
      <c r="U126" t="s">
        <v>832</v>
      </c>
      <c r="V126" t="s">
        <v>833</v>
      </c>
      <c r="W126">
        <v>91809</v>
      </c>
      <c r="X126" t="s">
        <v>98</v>
      </c>
      <c r="Y126" t="s">
        <v>98</v>
      </c>
      <c r="Z126" t="s">
        <v>89</v>
      </c>
      <c r="AC126" s="23">
        <v>43140</v>
      </c>
    </row>
    <row r="127" spans="1:29" hidden="1" x14ac:dyDescent="0.25">
      <c r="A127">
        <v>467</v>
      </c>
      <c r="B127" t="s">
        <v>9</v>
      </c>
      <c r="C127" s="32" t="s">
        <v>834</v>
      </c>
      <c r="D127" s="32" t="s">
        <v>11</v>
      </c>
      <c r="E127" t="s">
        <v>92</v>
      </c>
      <c r="F127">
        <v>711</v>
      </c>
      <c r="G127" s="33">
        <v>25112</v>
      </c>
      <c r="H127" s="33">
        <v>42479</v>
      </c>
      <c r="I127" s="23">
        <v>42684</v>
      </c>
      <c r="J127" t="s">
        <v>81</v>
      </c>
      <c r="K127" t="s">
        <v>82</v>
      </c>
      <c r="L127" s="32">
        <v>83866807650</v>
      </c>
      <c r="M127" s="32" t="s">
        <v>835</v>
      </c>
      <c r="N127" s="32" t="s">
        <v>836</v>
      </c>
      <c r="O127">
        <v>110.59</v>
      </c>
      <c r="P127">
        <v>115.59</v>
      </c>
      <c r="Q127">
        <v>115.59</v>
      </c>
      <c r="R127" s="32">
        <v>20</v>
      </c>
      <c r="S127" s="32" t="s">
        <v>94</v>
      </c>
      <c r="T127" s="32" t="s">
        <v>837</v>
      </c>
      <c r="U127" t="s">
        <v>838</v>
      </c>
      <c r="V127" t="s">
        <v>839</v>
      </c>
      <c r="W127">
        <v>97246</v>
      </c>
      <c r="X127" t="s">
        <v>840</v>
      </c>
      <c r="Y127" t="s">
        <v>392</v>
      </c>
      <c r="Z127" t="s">
        <v>89</v>
      </c>
      <c r="AC127" s="23">
        <v>43140</v>
      </c>
    </row>
    <row r="128" spans="1:29" hidden="1" x14ac:dyDescent="0.25">
      <c r="A128">
        <v>468</v>
      </c>
      <c r="B128" t="s">
        <v>9</v>
      </c>
      <c r="C128" s="32" t="s">
        <v>841</v>
      </c>
      <c r="D128" s="32" t="s">
        <v>11</v>
      </c>
      <c r="E128" t="s">
        <v>92</v>
      </c>
      <c r="F128">
        <v>794</v>
      </c>
      <c r="G128" s="33">
        <v>27239</v>
      </c>
      <c r="H128" s="33">
        <v>42675</v>
      </c>
      <c r="I128" s="23">
        <v>42684</v>
      </c>
      <c r="J128" t="s">
        <v>81</v>
      </c>
      <c r="K128" t="s">
        <v>82</v>
      </c>
      <c r="L128" s="32">
        <v>96967455203</v>
      </c>
      <c r="M128" s="32" t="s">
        <v>842</v>
      </c>
      <c r="N128" s="32" t="s">
        <v>843</v>
      </c>
      <c r="O128">
        <v>110.59</v>
      </c>
      <c r="P128">
        <v>115.59</v>
      </c>
      <c r="Q128">
        <v>115.59</v>
      </c>
      <c r="R128" s="32">
        <v>20</v>
      </c>
      <c r="S128" s="32" t="s">
        <v>94</v>
      </c>
      <c r="T128" s="32" t="s">
        <v>844</v>
      </c>
      <c r="U128" t="s">
        <v>845</v>
      </c>
      <c r="V128" t="s">
        <v>484</v>
      </c>
      <c r="W128">
        <v>56240</v>
      </c>
      <c r="X128" t="s">
        <v>373</v>
      </c>
      <c r="Y128" t="s">
        <v>88</v>
      </c>
      <c r="Z128" t="s">
        <v>89</v>
      </c>
      <c r="AC128" s="23">
        <v>43140</v>
      </c>
    </row>
    <row r="129" spans="1:29" hidden="1" x14ac:dyDescent="0.25">
      <c r="A129">
        <v>469</v>
      </c>
      <c r="B129" t="s">
        <v>9</v>
      </c>
      <c r="C129" s="32" t="s">
        <v>846</v>
      </c>
      <c r="D129" s="32" t="s">
        <v>79</v>
      </c>
      <c r="E129" t="s">
        <v>120</v>
      </c>
      <c r="F129">
        <v>674</v>
      </c>
      <c r="G129" s="33">
        <v>28336</v>
      </c>
      <c r="H129" s="33">
        <v>42426</v>
      </c>
      <c r="I129" s="23">
        <v>43140</v>
      </c>
      <c r="J129" t="s">
        <v>81</v>
      </c>
      <c r="K129" t="s">
        <v>82</v>
      </c>
      <c r="L129" s="32">
        <v>94977721839</v>
      </c>
      <c r="M129" s="32" t="s">
        <v>847</v>
      </c>
      <c r="N129" s="32" t="s">
        <v>848</v>
      </c>
      <c r="O129">
        <v>110.59</v>
      </c>
      <c r="P129">
        <v>115.59</v>
      </c>
      <c r="Q129">
        <v>115.59</v>
      </c>
      <c r="R129" s="32">
        <v>20</v>
      </c>
      <c r="S129" s="32" t="s">
        <v>94</v>
      </c>
      <c r="T129" s="32" t="s">
        <v>849</v>
      </c>
      <c r="U129" t="s">
        <v>850</v>
      </c>
      <c r="V129" t="s">
        <v>851</v>
      </c>
      <c r="W129">
        <v>55020</v>
      </c>
      <c r="X129" t="s">
        <v>167</v>
      </c>
      <c r="Y129" t="s">
        <v>88</v>
      </c>
      <c r="Z129" t="s">
        <v>89</v>
      </c>
      <c r="AC129" s="23">
        <v>43231</v>
      </c>
    </row>
    <row r="130" spans="1:29" hidden="1" x14ac:dyDescent="0.25">
      <c r="A130">
        <v>470</v>
      </c>
      <c r="B130" t="s">
        <v>9</v>
      </c>
      <c r="C130" s="32" t="s">
        <v>852</v>
      </c>
      <c r="D130" s="32" t="s">
        <v>79</v>
      </c>
      <c r="E130" t="s">
        <v>202</v>
      </c>
      <c r="F130">
        <v>673</v>
      </c>
      <c r="G130" s="33">
        <v>27165</v>
      </c>
      <c r="H130" s="33">
        <v>42425</v>
      </c>
      <c r="I130" s="23">
        <v>42684</v>
      </c>
      <c r="J130" t="s">
        <v>81</v>
      </c>
      <c r="K130" t="s">
        <v>82</v>
      </c>
      <c r="L130" s="32">
        <v>61107400832</v>
      </c>
      <c r="M130" s="32" t="s">
        <v>853</v>
      </c>
      <c r="N130" s="32" t="s">
        <v>854</v>
      </c>
      <c r="O130">
        <v>110.59</v>
      </c>
      <c r="P130">
        <v>115.59</v>
      </c>
      <c r="Q130">
        <v>115.59</v>
      </c>
      <c r="R130" s="32">
        <v>20</v>
      </c>
      <c r="S130" s="32" t="s">
        <v>94</v>
      </c>
      <c r="T130" s="32" t="s">
        <v>855</v>
      </c>
      <c r="U130" t="s">
        <v>856</v>
      </c>
      <c r="V130" t="s">
        <v>265</v>
      </c>
      <c r="W130">
        <v>62725</v>
      </c>
      <c r="X130" t="s">
        <v>857</v>
      </c>
      <c r="Y130" t="s">
        <v>858</v>
      </c>
      <c r="Z130" t="s">
        <v>89</v>
      </c>
      <c r="AC130" s="23">
        <v>42901</v>
      </c>
    </row>
    <row r="131" spans="1:29" hidden="1" x14ac:dyDescent="0.25">
      <c r="A131">
        <v>471</v>
      </c>
      <c r="B131" t="s">
        <v>9</v>
      </c>
      <c r="C131" s="32" t="s">
        <v>859</v>
      </c>
      <c r="D131" s="32" t="s">
        <v>79</v>
      </c>
      <c r="E131" t="s">
        <v>120</v>
      </c>
      <c r="F131">
        <v>717</v>
      </c>
      <c r="G131" s="33">
        <v>24680</v>
      </c>
      <c r="H131" s="33">
        <v>42483</v>
      </c>
      <c r="I131" s="23">
        <v>43140</v>
      </c>
      <c r="J131" t="s">
        <v>81</v>
      </c>
      <c r="K131" t="s">
        <v>82</v>
      </c>
      <c r="L131" s="32">
        <v>65876700314</v>
      </c>
      <c r="M131" s="32" t="s">
        <v>860</v>
      </c>
      <c r="N131" s="32" t="s">
        <v>861</v>
      </c>
      <c r="O131">
        <v>110.59</v>
      </c>
      <c r="P131">
        <v>115.59</v>
      </c>
      <c r="Q131">
        <v>115.59</v>
      </c>
      <c r="R131" s="32">
        <v>20</v>
      </c>
      <c r="S131" s="32" t="s">
        <v>204</v>
      </c>
      <c r="T131" s="32" t="s">
        <v>862</v>
      </c>
      <c r="U131" t="s">
        <v>863</v>
      </c>
      <c r="V131" t="s">
        <v>864</v>
      </c>
      <c r="W131">
        <v>91098</v>
      </c>
      <c r="X131" t="s">
        <v>865</v>
      </c>
      <c r="Y131" t="s">
        <v>98</v>
      </c>
      <c r="Z131" t="s">
        <v>89</v>
      </c>
      <c r="AC131" s="23">
        <v>43231</v>
      </c>
    </row>
    <row r="132" spans="1:29" hidden="1" x14ac:dyDescent="0.25">
      <c r="A132">
        <v>472</v>
      </c>
      <c r="B132" t="s">
        <v>9</v>
      </c>
      <c r="C132" s="32" t="s">
        <v>866</v>
      </c>
      <c r="D132" s="32" t="s">
        <v>11</v>
      </c>
      <c r="E132" t="s">
        <v>92</v>
      </c>
      <c r="F132">
        <v>771</v>
      </c>
      <c r="G132" s="33">
        <v>28711</v>
      </c>
      <c r="H132" s="33">
        <v>42982</v>
      </c>
      <c r="I132" s="23">
        <v>42982</v>
      </c>
      <c r="J132" t="s">
        <v>81</v>
      </c>
      <c r="K132" t="s">
        <v>82</v>
      </c>
      <c r="L132" s="32">
        <v>13957825279</v>
      </c>
      <c r="M132" s="32" t="s">
        <v>867</v>
      </c>
      <c r="N132" s="32" t="s">
        <v>868</v>
      </c>
      <c r="O132">
        <v>110.59</v>
      </c>
      <c r="P132">
        <v>115.59</v>
      </c>
      <c r="Q132">
        <v>115.59</v>
      </c>
      <c r="R132" s="32">
        <v>20</v>
      </c>
      <c r="S132" s="32" t="s">
        <v>94</v>
      </c>
      <c r="T132" s="32" t="s">
        <v>869</v>
      </c>
      <c r="U132" t="s">
        <v>870</v>
      </c>
      <c r="V132" t="s">
        <v>871</v>
      </c>
      <c r="W132">
        <v>42820</v>
      </c>
      <c r="X132" t="s">
        <v>132</v>
      </c>
      <c r="Y132" t="s">
        <v>133</v>
      </c>
      <c r="Z132" t="s">
        <v>89</v>
      </c>
      <c r="AB132" t="s">
        <v>872</v>
      </c>
      <c r="AC132" s="23">
        <v>43622</v>
      </c>
    </row>
    <row r="133" spans="1:29" hidden="1" x14ac:dyDescent="0.25">
      <c r="A133">
        <v>473</v>
      </c>
      <c r="B133" t="s">
        <v>9</v>
      </c>
      <c r="C133" s="32" t="s">
        <v>873</v>
      </c>
      <c r="D133" s="32" t="s">
        <v>11</v>
      </c>
      <c r="F133">
        <v>697</v>
      </c>
      <c r="G133" s="33">
        <v>27706</v>
      </c>
      <c r="H133" s="33">
        <v>42471</v>
      </c>
      <c r="I133" s="23">
        <v>42471</v>
      </c>
      <c r="J133" t="s">
        <v>81</v>
      </c>
      <c r="K133" t="s">
        <v>82</v>
      </c>
      <c r="L133" s="32">
        <v>67997503361</v>
      </c>
      <c r="M133" s="32" t="s">
        <v>874</v>
      </c>
      <c r="N133" s="32" t="s">
        <v>875</v>
      </c>
      <c r="O133">
        <v>120</v>
      </c>
      <c r="P133">
        <v>125.42</v>
      </c>
      <c r="Q133" t="s">
        <v>9</v>
      </c>
      <c r="R133" s="32">
        <v>20</v>
      </c>
      <c r="S133" s="32" t="s">
        <v>94</v>
      </c>
      <c r="T133" s="32" t="s">
        <v>876</v>
      </c>
      <c r="U133" t="s">
        <v>877</v>
      </c>
      <c r="V133" t="s">
        <v>265</v>
      </c>
      <c r="W133">
        <v>95440</v>
      </c>
      <c r="X133" t="s">
        <v>878</v>
      </c>
      <c r="Y133" t="s">
        <v>98</v>
      </c>
      <c r="Z133" t="s">
        <v>89</v>
      </c>
      <c r="AC133" s="23">
        <v>42684</v>
      </c>
    </row>
    <row r="134" spans="1:29" hidden="1" x14ac:dyDescent="0.25">
      <c r="A134">
        <v>475</v>
      </c>
      <c r="B134" t="s">
        <v>9</v>
      </c>
      <c r="C134" s="32" t="s">
        <v>879</v>
      </c>
      <c r="D134" s="32" t="s">
        <v>11</v>
      </c>
      <c r="F134">
        <v>689</v>
      </c>
      <c r="G134" s="33">
        <v>32436</v>
      </c>
      <c r="H134" s="33">
        <v>42452</v>
      </c>
      <c r="I134" s="23">
        <v>42461</v>
      </c>
      <c r="J134" t="s">
        <v>81</v>
      </c>
      <c r="K134" t="s">
        <v>82</v>
      </c>
      <c r="L134" s="32">
        <v>94058815708</v>
      </c>
      <c r="M134" s="32" t="s">
        <v>880</v>
      </c>
      <c r="N134" s="32" t="s">
        <v>881</v>
      </c>
      <c r="O134">
        <v>110.59</v>
      </c>
      <c r="P134">
        <v>115.59</v>
      </c>
      <c r="Q134" t="s">
        <v>9</v>
      </c>
      <c r="R134" s="32">
        <v>20</v>
      </c>
      <c r="S134" s="32" t="s">
        <v>204</v>
      </c>
      <c r="T134" s="32" t="s">
        <v>882</v>
      </c>
      <c r="U134" t="s">
        <v>883</v>
      </c>
      <c r="V134" t="s">
        <v>884</v>
      </c>
      <c r="W134">
        <v>43800</v>
      </c>
      <c r="X134" t="s">
        <v>885</v>
      </c>
      <c r="Y134" t="s">
        <v>133</v>
      </c>
      <c r="Z134" t="s">
        <v>89</v>
      </c>
      <c r="AC134" s="23">
        <v>42684</v>
      </c>
    </row>
    <row r="135" spans="1:29" hidden="1" x14ac:dyDescent="0.25">
      <c r="A135">
        <v>476</v>
      </c>
      <c r="B135" t="s">
        <v>9</v>
      </c>
      <c r="C135" s="32" t="s">
        <v>886</v>
      </c>
      <c r="D135" s="32" t="s">
        <v>11</v>
      </c>
      <c r="F135">
        <v>664</v>
      </c>
      <c r="G135" s="33">
        <v>26636</v>
      </c>
      <c r="H135" s="33">
        <v>42396</v>
      </c>
      <c r="I135" s="23">
        <v>42398</v>
      </c>
      <c r="J135" t="s">
        <v>81</v>
      </c>
      <c r="K135" t="s">
        <v>82</v>
      </c>
      <c r="L135" s="32">
        <v>20957117821</v>
      </c>
      <c r="M135" s="32" t="s">
        <v>887</v>
      </c>
      <c r="N135" s="32" t="s">
        <v>888</v>
      </c>
      <c r="O135">
        <v>110.59</v>
      </c>
      <c r="P135">
        <v>115.59</v>
      </c>
      <c r="Q135" t="s">
        <v>9</v>
      </c>
      <c r="R135" s="32">
        <v>20</v>
      </c>
      <c r="S135" s="32" t="s">
        <v>94</v>
      </c>
      <c r="T135" s="32" t="s">
        <v>889</v>
      </c>
      <c r="U135" t="s">
        <v>890</v>
      </c>
      <c r="V135" t="s">
        <v>891</v>
      </c>
      <c r="W135">
        <v>90454</v>
      </c>
      <c r="X135" t="s">
        <v>892</v>
      </c>
      <c r="Y135" t="s">
        <v>349</v>
      </c>
      <c r="Z135" t="s">
        <v>89</v>
      </c>
      <c r="AC135" s="23">
        <v>42684</v>
      </c>
    </row>
    <row r="136" spans="1:29" hidden="1" x14ac:dyDescent="0.25">
      <c r="A136">
        <v>477</v>
      </c>
      <c r="B136" t="s">
        <v>9</v>
      </c>
      <c r="C136" s="32" t="s">
        <v>893</v>
      </c>
      <c r="D136" s="32" t="s">
        <v>11</v>
      </c>
      <c r="F136">
        <v>721</v>
      </c>
      <c r="G136" s="33">
        <v>28728</v>
      </c>
      <c r="H136" s="33">
        <v>42487</v>
      </c>
      <c r="I136" s="23">
        <v>42487</v>
      </c>
      <c r="J136" t="s">
        <v>81</v>
      </c>
      <c r="K136" t="s">
        <v>82</v>
      </c>
      <c r="L136" s="32">
        <v>67957851982</v>
      </c>
      <c r="M136" s="32" t="s">
        <v>894</v>
      </c>
      <c r="N136" s="32" t="s">
        <v>895</v>
      </c>
      <c r="O136">
        <v>110.59</v>
      </c>
      <c r="P136">
        <v>115.59</v>
      </c>
      <c r="Q136" t="s">
        <v>9</v>
      </c>
      <c r="R136" s="32">
        <v>20</v>
      </c>
      <c r="S136" s="32" t="s">
        <v>94</v>
      </c>
      <c r="T136" s="32" t="s">
        <v>896</v>
      </c>
      <c r="U136" t="s">
        <v>897</v>
      </c>
      <c r="V136" t="s">
        <v>898</v>
      </c>
      <c r="W136">
        <v>96400</v>
      </c>
      <c r="X136" t="s">
        <v>531</v>
      </c>
      <c r="Y136" t="s">
        <v>98</v>
      </c>
      <c r="Z136" t="s">
        <v>89</v>
      </c>
      <c r="AC136" s="23">
        <v>42684</v>
      </c>
    </row>
    <row r="137" spans="1:29" hidden="1" x14ac:dyDescent="0.25">
      <c r="A137">
        <v>478</v>
      </c>
      <c r="B137" t="s">
        <v>9</v>
      </c>
      <c r="C137" s="32" t="s">
        <v>899</v>
      </c>
      <c r="D137" s="32" t="s">
        <v>79</v>
      </c>
      <c r="E137" t="s">
        <v>120</v>
      </c>
      <c r="F137">
        <v>710</v>
      </c>
      <c r="G137" s="33">
        <v>23489</v>
      </c>
      <c r="H137" s="33">
        <v>42478</v>
      </c>
      <c r="I137" s="23">
        <v>42478</v>
      </c>
      <c r="J137" t="s">
        <v>81</v>
      </c>
      <c r="K137" t="s">
        <v>82</v>
      </c>
      <c r="L137" s="32">
        <v>75826434138</v>
      </c>
      <c r="M137" s="32" t="s">
        <v>900</v>
      </c>
      <c r="N137" s="32" t="s">
        <v>901</v>
      </c>
      <c r="O137">
        <v>110.59</v>
      </c>
      <c r="P137">
        <v>115.59</v>
      </c>
      <c r="Q137">
        <v>115.59</v>
      </c>
      <c r="R137" s="32">
        <v>20</v>
      </c>
      <c r="S137" s="32" t="s">
        <v>94</v>
      </c>
      <c r="T137" s="32" t="s">
        <v>902</v>
      </c>
      <c r="U137" t="s">
        <v>903</v>
      </c>
      <c r="V137" t="s">
        <v>904</v>
      </c>
      <c r="W137">
        <v>55023</v>
      </c>
      <c r="X137" t="s">
        <v>240</v>
      </c>
      <c r="Y137" t="s">
        <v>88</v>
      </c>
      <c r="Z137" t="s">
        <v>89</v>
      </c>
      <c r="AC137" s="23">
        <v>43231</v>
      </c>
    </row>
    <row r="138" spans="1:29" hidden="1" x14ac:dyDescent="0.25">
      <c r="A138">
        <v>479</v>
      </c>
      <c r="B138" t="s">
        <v>9</v>
      </c>
      <c r="C138" s="32" t="s">
        <v>905</v>
      </c>
      <c r="D138" s="32" t="s">
        <v>79</v>
      </c>
      <c r="E138" t="s">
        <v>906</v>
      </c>
      <c r="F138">
        <v>775</v>
      </c>
      <c r="G138" s="33">
        <v>23066</v>
      </c>
      <c r="H138" s="33">
        <v>42597</v>
      </c>
      <c r="I138" s="23">
        <v>42684</v>
      </c>
      <c r="J138" t="s">
        <v>81</v>
      </c>
      <c r="K138" t="s">
        <v>82</v>
      </c>
      <c r="L138" s="32">
        <v>6806317225</v>
      </c>
      <c r="M138" s="32" t="s">
        <v>907</v>
      </c>
      <c r="N138" s="32" t="s">
        <v>908</v>
      </c>
      <c r="O138">
        <v>110.59</v>
      </c>
      <c r="P138">
        <v>115.59</v>
      </c>
      <c r="Q138">
        <v>0</v>
      </c>
      <c r="R138" s="32">
        <v>20</v>
      </c>
      <c r="S138" s="32" t="s">
        <v>94</v>
      </c>
      <c r="T138" s="32" t="s">
        <v>909</v>
      </c>
      <c r="U138" t="s">
        <v>910</v>
      </c>
      <c r="V138" t="s">
        <v>911</v>
      </c>
      <c r="W138">
        <v>54935</v>
      </c>
      <c r="X138" t="s">
        <v>756</v>
      </c>
      <c r="Y138" t="s">
        <v>88</v>
      </c>
      <c r="Z138" t="s">
        <v>89</v>
      </c>
      <c r="AC138" s="23">
        <v>42885</v>
      </c>
    </row>
    <row r="139" spans="1:29" hidden="1" x14ac:dyDescent="0.25">
      <c r="A139">
        <v>480</v>
      </c>
      <c r="B139" t="s">
        <v>9</v>
      </c>
      <c r="C139" s="32" t="s">
        <v>912</v>
      </c>
      <c r="D139" s="32" t="s">
        <v>11</v>
      </c>
      <c r="E139" t="s">
        <v>92</v>
      </c>
      <c r="F139">
        <v>769</v>
      </c>
      <c r="G139" s="33">
        <v>24094</v>
      </c>
      <c r="H139" s="33">
        <v>42580</v>
      </c>
      <c r="I139" s="23">
        <v>42684</v>
      </c>
      <c r="J139" t="s">
        <v>81</v>
      </c>
      <c r="K139" t="s">
        <v>82</v>
      </c>
      <c r="L139" s="32">
        <v>42836506883</v>
      </c>
      <c r="M139" s="32" t="s">
        <v>913</v>
      </c>
      <c r="N139" s="32" t="s">
        <v>914</v>
      </c>
      <c r="O139">
        <v>110.59</v>
      </c>
      <c r="P139">
        <v>123.24</v>
      </c>
      <c r="Q139">
        <v>123.24</v>
      </c>
      <c r="R139" s="32">
        <v>20</v>
      </c>
      <c r="S139" s="32" t="s">
        <v>94</v>
      </c>
      <c r="T139" s="32" t="s">
        <v>915</v>
      </c>
      <c r="U139" t="s">
        <v>916</v>
      </c>
      <c r="V139" t="s">
        <v>917</v>
      </c>
      <c r="W139">
        <v>90145</v>
      </c>
      <c r="X139" t="s">
        <v>918</v>
      </c>
      <c r="Y139" t="s">
        <v>349</v>
      </c>
      <c r="Z139" t="s">
        <v>89</v>
      </c>
      <c r="AC139" s="23">
        <v>43285</v>
      </c>
    </row>
    <row r="140" spans="1:29" hidden="1" x14ac:dyDescent="0.25">
      <c r="A140">
        <v>481</v>
      </c>
      <c r="B140" t="s">
        <v>9</v>
      </c>
      <c r="C140" s="32" t="s">
        <v>919</v>
      </c>
      <c r="D140" s="32" t="s">
        <v>79</v>
      </c>
      <c r="E140" t="s">
        <v>120</v>
      </c>
      <c r="F140">
        <v>787</v>
      </c>
      <c r="G140" s="33">
        <v>27137</v>
      </c>
      <c r="H140" s="33">
        <v>42640</v>
      </c>
      <c r="I140" s="23">
        <v>42684</v>
      </c>
      <c r="J140" t="s">
        <v>81</v>
      </c>
      <c r="K140" t="s">
        <v>82</v>
      </c>
      <c r="L140" s="32">
        <v>15927448082</v>
      </c>
      <c r="M140" s="32" t="s">
        <v>920</v>
      </c>
      <c r="N140" s="32" t="s">
        <v>921</v>
      </c>
      <c r="O140">
        <v>110.59</v>
      </c>
      <c r="P140">
        <v>115.59</v>
      </c>
      <c r="Q140">
        <v>117.6</v>
      </c>
      <c r="R140" s="32">
        <v>20</v>
      </c>
      <c r="S140" s="32" t="s">
        <v>94</v>
      </c>
      <c r="T140" s="32" t="s">
        <v>922</v>
      </c>
      <c r="U140" t="s">
        <v>923</v>
      </c>
      <c r="V140" t="s">
        <v>924</v>
      </c>
      <c r="W140">
        <v>73176</v>
      </c>
      <c r="X140" t="s">
        <v>925</v>
      </c>
      <c r="Y140" t="s">
        <v>145</v>
      </c>
      <c r="Z140" t="s">
        <v>89</v>
      </c>
      <c r="AC140" s="23">
        <v>43260</v>
      </c>
    </row>
    <row r="141" spans="1:29" hidden="1" x14ac:dyDescent="0.25">
      <c r="A141">
        <v>482</v>
      </c>
      <c r="B141" t="s">
        <v>9</v>
      </c>
      <c r="C141" s="32" t="s">
        <v>926</v>
      </c>
      <c r="D141" s="32" t="s">
        <v>11</v>
      </c>
      <c r="F141">
        <v>790</v>
      </c>
      <c r="G141" s="33">
        <v>22761</v>
      </c>
      <c r="H141" s="33">
        <v>42643</v>
      </c>
      <c r="I141" s="23">
        <v>42644</v>
      </c>
      <c r="J141" t="s">
        <v>81</v>
      </c>
      <c r="K141" t="s">
        <v>82</v>
      </c>
      <c r="L141" s="32">
        <v>72906202311</v>
      </c>
      <c r="M141" s="32" t="s">
        <v>927</v>
      </c>
      <c r="N141" s="32" t="s">
        <v>928</v>
      </c>
      <c r="O141">
        <v>110.59</v>
      </c>
      <c r="P141">
        <v>115.59</v>
      </c>
      <c r="Q141" t="s">
        <v>9</v>
      </c>
      <c r="R141" s="32">
        <v>20</v>
      </c>
      <c r="S141" s="32" t="s">
        <v>649</v>
      </c>
      <c r="T141" s="32" t="s">
        <v>929</v>
      </c>
      <c r="U141" t="s">
        <v>930</v>
      </c>
      <c r="V141" t="s">
        <v>931</v>
      </c>
      <c r="W141">
        <v>39122</v>
      </c>
      <c r="X141" t="s">
        <v>932</v>
      </c>
      <c r="Y141" t="s">
        <v>193</v>
      </c>
      <c r="Z141" t="s">
        <v>89</v>
      </c>
      <c r="AC141" s="23">
        <v>42684</v>
      </c>
    </row>
    <row r="142" spans="1:29" hidden="1" x14ac:dyDescent="0.25">
      <c r="A142">
        <v>483</v>
      </c>
      <c r="B142" t="s">
        <v>9</v>
      </c>
      <c r="C142" s="32" t="s">
        <v>933</v>
      </c>
      <c r="D142" s="32" t="s">
        <v>79</v>
      </c>
      <c r="E142" t="s">
        <v>120</v>
      </c>
      <c r="F142">
        <v>795</v>
      </c>
      <c r="G142" s="33">
        <v>26056</v>
      </c>
      <c r="H142" s="33">
        <v>42675</v>
      </c>
      <c r="I142" s="23">
        <v>43140</v>
      </c>
      <c r="J142" t="s">
        <v>81</v>
      </c>
      <c r="K142" t="s">
        <v>82</v>
      </c>
      <c r="L142" s="32">
        <v>2167145180</v>
      </c>
      <c r="M142" s="32" t="s">
        <v>934</v>
      </c>
      <c r="N142" s="32" t="s">
        <v>935</v>
      </c>
      <c r="O142">
        <v>110.59</v>
      </c>
      <c r="P142">
        <v>115.59</v>
      </c>
      <c r="Q142">
        <v>115.59</v>
      </c>
      <c r="R142" s="32">
        <v>20</v>
      </c>
      <c r="S142" s="32" t="s">
        <v>94</v>
      </c>
      <c r="T142" s="32" t="s">
        <v>936</v>
      </c>
      <c r="U142" t="s">
        <v>937</v>
      </c>
      <c r="V142" t="s">
        <v>938</v>
      </c>
      <c r="W142">
        <v>42730</v>
      </c>
      <c r="X142" t="s">
        <v>939</v>
      </c>
      <c r="Y142" t="s">
        <v>133</v>
      </c>
      <c r="Z142" t="s">
        <v>89</v>
      </c>
      <c r="AC142" s="23">
        <v>43270</v>
      </c>
    </row>
    <row r="143" spans="1:29" hidden="1" x14ac:dyDescent="0.25">
      <c r="A143">
        <v>486</v>
      </c>
      <c r="B143" t="s">
        <v>9</v>
      </c>
      <c r="C143" s="32" t="s">
        <v>940</v>
      </c>
      <c r="D143" s="32" t="s">
        <v>11</v>
      </c>
      <c r="E143" t="s">
        <v>92</v>
      </c>
      <c r="F143">
        <v>725</v>
      </c>
      <c r="G143" s="33">
        <v>26055</v>
      </c>
      <c r="H143" s="33">
        <v>42488</v>
      </c>
      <c r="I143" s="23">
        <v>42705</v>
      </c>
      <c r="J143" t="s">
        <v>81</v>
      </c>
      <c r="K143" t="s">
        <v>82</v>
      </c>
      <c r="L143" s="32">
        <v>92897173420</v>
      </c>
      <c r="M143" s="32" t="s">
        <v>941</v>
      </c>
      <c r="N143" s="32" t="s">
        <v>942</v>
      </c>
      <c r="O143">
        <v>110.59</v>
      </c>
      <c r="P143">
        <v>115.59</v>
      </c>
      <c r="Q143">
        <v>115.59</v>
      </c>
      <c r="R143" s="32">
        <v>20</v>
      </c>
      <c r="S143" s="32" t="s">
        <v>94</v>
      </c>
      <c r="T143" s="32" t="s">
        <v>943</v>
      </c>
      <c r="U143" t="s">
        <v>944</v>
      </c>
      <c r="V143" t="s">
        <v>945</v>
      </c>
      <c r="W143">
        <v>54980</v>
      </c>
      <c r="X143" t="s">
        <v>310</v>
      </c>
      <c r="Y143" t="s">
        <v>88</v>
      </c>
      <c r="Z143" t="s">
        <v>89</v>
      </c>
      <c r="AC143" s="23">
        <v>43140</v>
      </c>
    </row>
    <row r="144" spans="1:29" hidden="1" x14ac:dyDescent="0.25">
      <c r="A144">
        <v>498</v>
      </c>
      <c r="B144" t="s">
        <v>9</v>
      </c>
      <c r="C144" s="32" t="s">
        <v>946</v>
      </c>
      <c r="D144" s="32" t="s">
        <v>79</v>
      </c>
      <c r="E144" t="s">
        <v>906</v>
      </c>
      <c r="F144">
        <v>403</v>
      </c>
      <c r="G144" s="33">
        <v>25064</v>
      </c>
      <c r="H144" s="33">
        <v>42624</v>
      </c>
      <c r="I144" s="23">
        <v>42705</v>
      </c>
      <c r="J144" t="s">
        <v>81</v>
      </c>
      <c r="K144" t="s">
        <v>82</v>
      </c>
      <c r="L144" s="32">
        <v>83896824535</v>
      </c>
      <c r="M144" s="32" t="s">
        <v>947</v>
      </c>
      <c r="N144" s="32" t="s">
        <v>948</v>
      </c>
      <c r="O144">
        <v>110.59</v>
      </c>
      <c r="P144">
        <v>115.59</v>
      </c>
      <c r="Q144">
        <v>0</v>
      </c>
      <c r="R144" s="32">
        <v>20</v>
      </c>
      <c r="S144" s="32" t="s">
        <v>94</v>
      </c>
      <c r="T144" s="32">
        <v>9371175440</v>
      </c>
      <c r="U144" t="s">
        <v>949</v>
      </c>
      <c r="V144" t="s">
        <v>950</v>
      </c>
      <c r="W144">
        <v>86680</v>
      </c>
      <c r="X144" t="s">
        <v>951</v>
      </c>
      <c r="Y144" t="s">
        <v>105</v>
      </c>
      <c r="Z144" t="s">
        <v>89</v>
      </c>
      <c r="AC144" s="23">
        <v>42885</v>
      </c>
    </row>
    <row r="145" spans="1:29" hidden="1" x14ac:dyDescent="0.25">
      <c r="A145">
        <v>499</v>
      </c>
      <c r="B145" t="s">
        <v>9</v>
      </c>
      <c r="C145" s="32" t="s">
        <v>952</v>
      </c>
      <c r="D145" s="32" t="s">
        <v>79</v>
      </c>
      <c r="E145" t="s">
        <v>906</v>
      </c>
      <c r="F145">
        <v>408</v>
      </c>
      <c r="G145" s="33">
        <v>27697</v>
      </c>
      <c r="H145" s="33">
        <v>42492</v>
      </c>
      <c r="I145" s="23">
        <v>42705</v>
      </c>
      <c r="J145" t="s">
        <v>81</v>
      </c>
      <c r="K145" t="s">
        <v>82</v>
      </c>
      <c r="L145" s="32">
        <v>83917511350</v>
      </c>
      <c r="M145" s="32" t="s">
        <v>953</v>
      </c>
      <c r="N145" s="32" t="s">
        <v>954</v>
      </c>
      <c r="O145">
        <v>105.14</v>
      </c>
      <c r="P145">
        <v>109.89</v>
      </c>
      <c r="Q145">
        <v>0</v>
      </c>
      <c r="R145" s="32">
        <v>20</v>
      </c>
      <c r="S145" s="32" t="s">
        <v>94</v>
      </c>
      <c r="T145" s="32">
        <v>9371253503</v>
      </c>
      <c r="U145" t="s">
        <v>955</v>
      </c>
      <c r="V145" t="s">
        <v>956</v>
      </c>
      <c r="W145">
        <v>86500</v>
      </c>
      <c r="X145" t="s">
        <v>957</v>
      </c>
      <c r="Y145" t="s">
        <v>105</v>
      </c>
      <c r="Z145" t="s">
        <v>89</v>
      </c>
      <c r="AC145" s="23">
        <v>42885</v>
      </c>
    </row>
    <row r="146" spans="1:29" hidden="1" x14ac:dyDescent="0.25">
      <c r="A146">
        <v>500</v>
      </c>
      <c r="B146" t="s">
        <v>9</v>
      </c>
      <c r="C146" s="32" t="s">
        <v>958</v>
      </c>
      <c r="D146" s="32" t="s">
        <v>79</v>
      </c>
      <c r="E146" t="s">
        <v>92</v>
      </c>
      <c r="F146">
        <v>743</v>
      </c>
      <c r="G146" s="33">
        <v>27644</v>
      </c>
      <c r="H146" s="33">
        <v>42504</v>
      </c>
      <c r="I146" s="23">
        <v>42705</v>
      </c>
      <c r="J146" t="s">
        <v>81</v>
      </c>
      <c r="K146" t="s">
        <v>82</v>
      </c>
      <c r="L146" s="32">
        <v>72937577954</v>
      </c>
      <c r="M146" s="32" t="s">
        <v>959</v>
      </c>
      <c r="N146" s="32" t="s">
        <v>960</v>
      </c>
      <c r="O146">
        <v>110.59</v>
      </c>
      <c r="P146">
        <v>115.59</v>
      </c>
      <c r="Q146">
        <v>0</v>
      </c>
      <c r="R146" s="32">
        <v>20</v>
      </c>
      <c r="S146" s="32" t="s">
        <v>94</v>
      </c>
      <c r="T146" s="32" t="s">
        <v>961</v>
      </c>
      <c r="U146" t="s">
        <v>962</v>
      </c>
      <c r="V146" t="s">
        <v>963</v>
      </c>
      <c r="W146">
        <v>39910</v>
      </c>
      <c r="X146" t="s">
        <v>964</v>
      </c>
      <c r="Y146" t="s">
        <v>193</v>
      </c>
      <c r="Z146" t="s">
        <v>89</v>
      </c>
      <c r="AC146" s="23">
        <v>43042</v>
      </c>
    </row>
    <row r="147" spans="1:29" hidden="1" x14ac:dyDescent="0.25">
      <c r="A147">
        <v>501</v>
      </c>
      <c r="B147">
        <v>0</v>
      </c>
      <c r="C147" s="32" t="s">
        <v>965</v>
      </c>
      <c r="D147" s="32" t="s">
        <v>79</v>
      </c>
      <c r="E147" t="s">
        <v>202</v>
      </c>
      <c r="F147">
        <v>800</v>
      </c>
      <c r="G147" s="33">
        <v>30308</v>
      </c>
      <c r="H147" s="33">
        <v>42706</v>
      </c>
      <c r="I147" s="23">
        <v>42901</v>
      </c>
      <c r="J147" t="s">
        <v>966</v>
      </c>
      <c r="K147" t="s">
        <v>82</v>
      </c>
      <c r="L147" s="32">
        <v>65998225281</v>
      </c>
      <c r="M147" s="32" t="s">
        <v>967</v>
      </c>
      <c r="N147" s="32" t="s">
        <v>968</v>
      </c>
      <c r="O147">
        <v>110.59</v>
      </c>
      <c r="P147">
        <v>115.59</v>
      </c>
      <c r="Q147">
        <v>0</v>
      </c>
      <c r="R147" s="32">
        <v>20</v>
      </c>
      <c r="S147" s="32" t="s">
        <v>94</v>
      </c>
      <c r="T147" s="32">
        <v>457751224400</v>
      </c>
      <c r="U147" t="s">
        <v>969</v>
      </c>
      <c r="V147" t="s">
        <v>970</v>
      </c>
      <c r="W147">
        <v>43700</v>
      </c>
      <c r="X147" t="s">
        <v>971</v>
      </c>
      <c r="Y147" t="s">
        <v>133</v>
      </c>
      <c r="Z147" t="s">
        <v>89</v>
      </c>
      <c r="AB147" t="s">
        <v>972</v>
      </c>
      <c r="AC147" s="23">
        <v>42901</v>
      </c>
    </row>
    <row r="148" spans="1:29" hidden="1" x14ac:dyDescent="0.25">
      <c r="A148">
        <v>502</v>
      </c>
      <c r="B148">
        <v>0</v>
      </c>
      <c r="C148" s="32" t="s">
        <v>973</v>
      </c>
      <c r="D148" s="32" t="s">
        <v>11</v>
      </c>
      <c r="E148" t="s">
        <v>974</v>
      </c>
      <c r="F148">
        <v>0</v>
      </c>
      <c r="G148" s="33">
        <v>28474</v>
      </c>
      <c r="H148" s="33">
        <v>42719</v>
      </c>
      <c r="I148" s="23">
        <v>42719</v>
      </c>
      <c r="J148" t="s">
        <v>81</v>
      </c>
      <c r="K148" t="s">
        <v>82</v>
      </c>
      <c r="L148" s="32">
        <v>0</v>
      </c>
      <c r="M148" s="32" t="s">
        <v>12</v>
      </c>
      <c r="N148" s="32" t="s">
        <v>12</v>
      </c>
      <c r="O148">
        <v>0</v>
      </c>
      <c r="P148">
        <v>0</v>
      </c>
      <c r="Q148">
        <v>0</v>
      </c>
      <c r="R148" s="32">
        <v>19</v>
      </c>
      <c r="S148" s="32" t="s">
        <v>649</v>
      </c>
      <c r="T148" s="32" t="s">
        <v>12</v>
      </c>
      <c r="U148" t="s">
        <v>12</v>
      </c>
      <c r="V148" t="s">
        <v>12</v>
      </c>
      <c r="W148">
        <v>0</v>
      </c>
      <c r="X148" t="s">
        <v>12</v>
      </c>
      <c r="Y148" t="s">
        <v>12</v>
      </c>
      <c r="Z148" t="s">
        <v>89</v>
      </c>
      <c r="AA148">
        <v>0</v>
      </c>
      <c r="AB148" t="s">
        <v>12</v>
      </c>
      <c r="AC148" s="23">
        <v>42719</v>
      </c>
    </row>
    <row r="149" spans="1:29" hidden="1" x14ac:dyDescent="0.25">
      <c r="A149">
        <v>503</v>
      </c>
      <c r="B149">
        <v>0</v>
      </c>
      <c r="C149" s="32" t="s">
        <v>975</v>
      </c>
      <c r="D149" s="32" t="s">
        <v>79</v>
      </c>
      <c r="E149" t="s">
        <v>202</v>
      </c>
      <c r="F149">
        <v>0</v>
      </c>
      <c r="G149" s="33">
        <v>28474</v>
      </c>
      <c r="H149" s="33">
        <v>42719</v>
      </c>
      <c r="I149" s="23">
        <v>42901</v>
      </c>
      <c r="J149" t="s">
        <v>81</v>
      </c>
      <c r="K149" t="s">
        <v>82</v>
      </c>
      <c r="L149" s="32">
        <v>0</v>
      </c>
      <c r="M149" s="32" t="s">
        <v>12</v>
      </c>
      <c r="N149" s="32" t="s">
        <v>12</v>
      </c>
      <c r="O149">
        <v>0</v>
      </c>
      <c r="P149">
        <v>0</v>
      </c>
      <c r="Q149">
        <v>0</v>
      </c>
      <c r="R149" s="32">
        <v>20</v>
      </c>
      <c r="S149" s="32" t="s">
        <v>94</v>
      </c>
      <c r="T149" s="32" t="s">
        <v>12</v>
      </c>
      <c r="U149" t="s">
        <v>12</v>
      </c>
      <c r="V149" t="s">
        <v>12</v>
      </c>
      <c r="W149">
        <v>0</v>
      </c>
      <c r="X149" t="s">
        <v>12</v>
      </c>
      <c r="Y149" t="s">
        <v>12</v>
      </c>
      <c r="Z149" t="s">
        <v>89</v>
      </c>
      <c r="AA149">
        <v>0</v>
      </c>
      <c r="AB149">
        <v>0</v>
      </c>
      <c r="AC149" s="23">
        <v>42901</v>
      </c>
    </row>
    <row r="150" spans="1:29" hidden="1" x14ac:dyDescent="0.25">
      <c r="A150">
        <v>504</v>
      </c>
      <c r="B150">
        <v>0</v>
      </c>
      <c r="C150" s="32" t="s">
        <v>976</v>
      </c>
      <c r="D150" s="32" t="s">
        <v>79</v>
      </c>
      <c r="E150" t="s">
        <v>120</v>
      </c>
      <c r="F150">
        <v>805</v>
      </c>
      <c r="G150" s="33">
        <v>42726</v>
      </c>
      <c r="H150" s="33">
        <v>42713</v>
      </c>
      <c r="I150" s="23">
        <v>43336</v>
      </c>
      <c r="J150" t="s">
        <v>81</v>
      </c>
      <c r="K150" t="s">
        <v>82</v>
      </c>
      <c r="L150" s="32">
        <v>96018322386</v>
      </c>
      <c r="M150" s="32" t="s">
        <v>977</v>
      </c>
      <c r="N150" s="32" t="s">
        <v>978</v>
      </c>
      <c r="O150">
        <v>110.59</v>
      </c>
      <c r="P150">
        <v>115.59</v>
      </c>
      <c r="Q150">
        <v>0</v>
      </c>
      <c r="R150" s="32">
        <v>20</v>
      </c>
      <c r="S150" s="32" t="s">
        <v>204</v>
      </c>
      <c r="T150" s="32">
        <v>5547814736</v>
      </c>
      <c r="U150" t="s">
        <v>979</v>
      </c>
      <c r="V150" t="s">
        <v>484</v>
      </c>
      <c r="W150">
        <v>56243</v>
      </c>
      <c r="X150" t="s">
        <v>373</v>
      </c>
      <c r="Y150" t="s">
        <v>88</v>
      </c>
      <c r="Z150" t="s">
        <v>89</v>
      </c>
      <c r="AA150">
        <v>0</v>
      </c>
      <c r="AB150" t="s">
        <v>980</v>
      </c>
      <c r="AC150" s="23">
        <v>43369</v>
      </c>
    </row>
    <row r="151" spans="1:29" hidden="1" x14ac:dyDescent="0.25">
      <c r="A151">
        <v>505</v>
      </c>
      <c r="B151" t="s">
        <v>9</v>
      </c>
      <c r="C151" s="32" t="s">
        <v>981</v>
      </c>
      <c r="D151" s="32" t="s">
        <v>982</v>
      </c>
      <c r="E151" t="s">
        <v>983</v>
      </c>
      <c r="F151">
        <v>19</v>
      </c>
      <c r="G151" s="33">
        <v>21297</v>
      </c>
      <c r="H151" s="33">
        <v>42628</v>
      </c>
      <c r="I151" s="23">
        <v>42628</v>
      </c>
      <c r="J151" t="s">
        <v>984</v>
      </c>
      <c r="K151" t="s">
        <v>985</v>
      </c>
      <c r="L151" s="32">
        <v>49835812071</v>
      </c>
      <c r="M151" s="32" t="s">
        <v>986</v>
      </c>
      <c r="N151" s="32" t="s">
        <v>987</v>
      </c>
      <c r="O151">
        <v>428.38</v>
      </c>
      <c r="P151">
        <v>447.75</v>
      </c>
      <c r="Q151" t="s">
        <v>9</v>
      </c>
      <c r="R151" s="32">
        <v>22</v>
      </c>
      <c r="T151" s="32"/>
      <c r="W151" t="s">
        <v>9</v>
      </c>
      <c r="Z151" t="s">
        <v>988</v>
      </c>
      <c r="AC151" s="23">
        <v>42705</v>
      </c>
    </row>
    <row r="152" spans="1:29" hidden="1" x14ac:dyDescent="0.25">
      <c r="A152">
        <v>506</v>
      </c>
      <c r="B152" t="s">
        <v>9</v>
      </c>
      <c r="C152" s="32" t="s">
        <v>989</v>
      </c>
      <c r="D152" s="32" t="s">
        <v>982</v>
      </c>
      <c r="E152" t="s">
        <v>983</v>
      </c>
      <c r="F152">
        <v>14</v>
      </c>
      <c r="G152" s="33">
        <v>29340</v>
      </c>
      <c r="H152" s="33">
        <v>42572</v>
      </c>
      <c r="I152" s="23">
        <v>42572</v>
      </c>
      <c r="J152" t="s">
        <v>990</v>
      </c>
      <c r="K152" t="s">
        <v>985</v>
      </c>
      <c r="L152" s="32">
        <v>48018006493</v>
      </c>
      <c r="M152" s="32" t="s">
        <v>991</v>
      </c>
      <c r="N152" s="32" t="s">
        <v>992</v>
      </c>
      <c r="O152">
        <v>428.38</v>
      </c>
      <c r="P152">
        <v>447.75</v>
      </c>
      <c r="Q152" t="s">
        <v>9</v>
      </c>
      <c r="R152" s="32">
        <v>22</v>
      </c>
      <c r="T152" s="32"/>
      <c r="W152" t="s">
        <v>9</v>
      </c>
      <c r="Z152" t="s">
        <v>988</v>
      </c>
      <c r="AC152" s="23">
        <v>42706</v>
      </c>
    </row>
    <row r="153" spans="1:29" hidden="1" x14ac:dyDescent="0.25">
      <c r="A153">
        <v>507</v>
      </c>
      <c r="B153" t="s">
        <v>9</v>
      </c>
      <c r="C153" s="32" t="s">
        <v>993</v>
      </c>
      <c r="D153" s="32" t="s">
        <v>982</v>
      </c>
      <c r="E153" t="s">
        <v>983</v>
      </c>
      <c r="F153">
        <v>31</v>
      </c>
      <c r="G153" s="33">
        <v>30578</v>
      </c>
      <c r="H153" s="33">
        <v>42705</v>
      </c>
      <c r="I153" s="23">
        <v>42705</v>
      </c>
      <c r="J153" t="s">
        <v>994</v>
      </c>
      <c r="K153" t="s">
        <v>985</v>
      </c>
      <c r="L153" s="32">
        <v>32058112338</v>
      </c>
      <c r="M153" s="32" t="s">
        <v>995</v>
      </c>
      <c r="N153" s="32" t="s">
        <v>996</v>
      </c>
      <c r="O153">
        <v>428.37</v>
      </c>
      <c r="P153">
        <v>447.73</v>
      </c>
      <c r="Q153" t="s">
        <v>9</v>
      </c>
      <c r="R153" s="32">
        <v>22</v>
      </c>
      <c r="T153" s="32"/>
      <c r="W153" t="s">
        <v>9</v>
      </c>
      <c r="Z153" t="s">
        <v>988</v>
      </c>
      <c r="AC153" s="23">
        <v>42707</v>
      </c>
    </row>
    <row r="154" spans="1:29" hidden="1" x14ac:dyDescent="0.25">
      <c r="A154">
        <v>508</v>
      </c>
      <c r="B154" t="s">
        <v>9</v>
      </c>
      <c r="C154" s="32" t="s">
        <v>997</v>
      </c>
      <c r="D154" s="32" t="s">
        <v>982</v>
      </c>
      <c r="E154" t="s">
        <v>983</v>
      </c>
      <c r="F154">
        <v>3</v>
      </c>
      <c r="G154" s="33">
        <v>26220</v>
      </c>
      <c r="H154" s="33">
        <v>42006</v>
      </c>
      <c r="I154" s="23">
        <v>42006</v>
      </c>
      <c r="J154" t="s">
        <v>998</v>
      </c>
      <c r="K154" t="s">
        <v>985</v>
      </c>
      <c r="L154" s="32">
        <v>33947132032</v>
      </c>
      <c r="M154" s="32" t="s">
        <v>999</v>
      </c>
      <c r="N154" s="32" t="s">
        <v>1000</v>
      </c>
      <c r="O154">
        <v>427.84</v>
      </c>
      <c r="P154">
        <v>447.77</v>
      </c>
      <c r="Q154" t="s">
        <v>9</v>
      </c>
      <c r="R154" s="32">
        <v>26</v>
      </c>
      <c r="T154" s="32"/>
      <c r="W154" t="s">
        <v>9</v>
      </c>
      <c r="Z154" t="s">
        <v>988</v>
      </c>
      <c r="AC154" s="23">
        <v>42708</v>
      </c>
    </row>
    <row r="155" spans="1:29" hidden="1" x14ac:dyDescent="0.25">
      <c r="A155">
        <v>509</v>
      </c>
      <c r="B155" t="s">
        <v>9</v>
      </c>
      <c r="C155" s="32" t="s">
        <v>1001</v>
      </c>
      <c r="D155" s="32" t="s">
        <v>982</v>
      </c>
      <c r="E155" t="s">
        <v>983</v>
      </c>
      <c r="F155">
        <v>16</v>
      </c>
      <c r="G155" s="33">
        <v>27137</v>
      </c>
      <c r="H155" s="33">
        <v>42586</v>
      </c>
      <c r="I155" s="23">
        <v>42586</v>
      </c>
      <c r="J155" t="s">
        <v>998</v>
      </c>
      <c r="K155" t="s">
        <v>985</v>
      </c>
      <c r="L155" s="32">
        <v>33917442130</v>
      </c>
      <c r="M155" s="32" t="s">
        <v>1002</v>
      </c>
      <c r="N155" s="32" t="s">
        <v>1003</v>
      </c>
      <c r="O155">
        <v>428.38</v>
      </c>
      <c r="P155">
        <v>447.75</v>
      </c>
      <c r="Q155" t="s">
        <v>9</v>
      </c>
      <c r="R155" s="32">
        <v>26</v>
      </c>
      <c r="T155" s="32"/>
      <c r="W155" t="s">
        <v>9</v>
      </c>
      <c r="Z155" t="s">
        <v>988</v>
      </c>
      <c r="AC155" s="23">
        <v>42709</v>
      </c>
    </row>
    <row r="156" spans="1:29" hidden="1" x14ac:dyDescent="0.25">
      <c r="A156">
        <v>510</v>
      </c>
      <c r="B156" t="s">
        <v>9</v>
      </c>
      <c r="C156" s="32" t="s">
        <v>1004</v>
      </c>
      <c r="D156" s="32" t="s">
        <v>982</v>
      </c>
      <c r="E156" t="s">
        <v>983</v>
      </c>
      <c r="F156">
        <v>11</v>
      </c>
      <c r="G156" s="33">
        <v>25237</v>
      </c>
      <c r="H156" s="33">
        <v>42537</v>
      </c>
      <c r="I156" s="23">
        <v>42537</v>
      </c>
      <c r="J156" t="s">
        <v>1005</v>
      </c>
      <c r="K156" t="s">
        <v>985</v>
      </c>
      <c r="L156" s="32">
        <v>24886911684</v>
      </c>
      <c r="M156" s="32" t="s">
        <v>1006</v>
      </c>
      <c r="N156" s="32" t="s">
        <v>183</v>
      </c>
      <c r="O156">
        <v>428.38</v>
      </c>
      <c r="P156">
        <v>447.75</v>
      </c>
      <c r="Q156" t="s">
        <v>9</v>
      </c>
      <c r="R156" s="32">
        <v>25</v>
      </c>
      <c r="T156" s="32"/>
      <c r="W156" t="s">
        <v>9</v>
      </c>
      <c r="Z156" t="s">
        <v>988</v>
      </c>
      <c r="AC156" s="23">
        <v>42710</v>
      </c>
    </row>
    <row r="157" spans="1:29" hidden="1" x14ac:dyDescent="0.25">
      <c r="A157">
        <v>513</v>
      </c>
      <c r="B157" t="s">
        <v>9</v>
      </c>
      <c r="C157" s="32" t="s">
        <v>1007</v>
      </c>
      <c r="D157" s="32" t="s">
        <v>982</v>
      </c>
      <c r="E157" t="s">
        <v>983</v>
      </c>
      <c r="F157">
        <v>23</v>
      </c>
      <c r="G157" s="33">
        <v>24874</v>
      </c>
      <c r="H157" s="33">
        <v>42648</v>
      </c>
      <c r="I157" s="23">
        <v>42648</v>
      </c>
      <c r="J157" t="s">
        <v>984</v>
      </c>
      <c r="K157" t="s">
        <v>985</v>
      </c>
      <c r="L157" s="32" t="s">
        <v>1008</v>
      </c>
      <c r="M157" s="32" t="s">
        <v>1009</v>
      </c>
      <c r="N157" s="32" t="s">
        <v>1010</v>
      </c>
      <c r="O157">
        <v>428.38</v>
      </c>
      <c r="P157">
        <v>447.75</v>
      </c>
      <c r="Q157" t="s">
        <v>9</v>
      </c>
      <c r="R157" s="32">
        <v>22</v>
      </c>
      <c r="T157" s="32"/>
      <c r="W157" t="s">
        <v>9</v>
      </c>
      <c r="Z157" t="s">
        <v>988</v>
      </c>
      <c r="AC157" s="23">
        <v>42713</v>
      </c>
    </row>
    <row r="158" spans="1:29" hidden="1" x14ac:dyDescent="0.25">
      <c r="A158">
        <v>514</v>
      </c>
      <c r="B158" t="s">
        <v>9</v>
      </c>
      <c r="C158" s="32" t="s">
        <v>1011</v>
      </c>
      <c r="D158" s="32" t="s">
        <v>982</v>
      </c>
      <c r="E158" t="s">
        <v>983</v>
      </c>
      <c r="F158">
        <v>30</v>
      </c>
      <c r="G158" s="33">
        <v>27562</v>
      </c>
      <c r="H158" s="33">
        <v>42698</v>
      </c>
      <c r="I158" s="23">
        <v>42698</v>
      </c>
      <c r="J158" t="s">
        <v>994</v>
      </c>
      <c r="K158" t="s">
        <v>985</v>
      </c>
      <c r="L158" s="32" t="s">
        <v>1012</v>
      </c>
      <c r="M158" s="32" t="s">
        <v>1013</v>
      </c>
      <c r="N158" s="32" t="s">
        <v>1014</v>
      </c>
      <c r="O158">
        <v>428.38</v>
      </c>
      <c r="P158">
        <v>447.75</v>
      </c>
      <c r="Q158" t="s">
        <v>9</v>
      </c>
      <c r="R158" s="32">
        <v>22</v>
      </c>
      <c r="T158" s="32"/>
      <c r="W158" t="s">
        <v>9</v>
      </c>
      <c r="Z158" t="s">
        <v>988</v>
      </c>
      <c r="AC158" s="23">
        <v>42714</v>
      </c>
    </row>
    <row r="159" spans="1:29" hidden="1" x14ac:dyDescent="0.25">
      <c r="A159">
        <v>515</v>
      </c>
      <c r="B159" t="s">
        <v>9</v>
      </c>
      <c r="C159" s="32" t="s">
        <v>1015</v>
      </c>
      <c r="D159" s="32" t="s">
        <v>982</v>
      </c>
      <c r="E159" t="s">
        <v>983</v>
      </c>
      <c r="F159">
        <v>12</v>
      </c>
      <c r="G159" s="33">
        <v>27500</v>
      </c>
      <c r="H159" s="33">
        <v>42537</v>
      </c>
      <c r="I159" s="23">
        <v>42537</v>
      </c>
      <c r="J159" t="s">
        <v>1005</v>
      </c>
      <c r="K159" t="s">
        <v>985</v>
      </c>
      <c r="L159" s="32">
        <v>24917595498</v>
      </c>
      <c r="M159" s="32" t="s">
        <v>1016</v>
      </c>
      <c r="N159" s="32" t="s">
        <v>404</v>
      </c>
      <c r="O159">
        <v>428.38</v>
      </c>
      <c r="P159">
        <v>447.75</v>
      </c>
      <c r="Q159" t="s">
        <v>9</v>
      </c>
      <c r="R159" s="32">
        <v>25</v>
      </c>
      <c r="T159" s="32"/>
      <c r="W159" t="s">
        <v>9</v>
      </c>
      <c r="Z159" t="s">
        <v>988</v>
      </c>
      <c r="AC159" s="23">
        <v>42715</v>
      </c>
    </row>
    <row r="160" spans="1:29" hidden="1" x14ac:dyDescent="0.25">
      <c r="A160">
        <v>516</v>
      </c>
      <c r="B160" t="s">
        <v>9</v>
      </c>
      <c r="C160" s="32" t="s">
        <v>1017</v>
      </c>
      <c r="D160" s="32" t="s">
        <v>982</v>
      </c>
      <c r="E160" t="s">
        <v>983</v>
      </c>
      <c r="F160">
        <v>6</v>
      </c>
      <c r="G160" s="33">
        <v>29964</v>
      </c>
      <c r="H160" s="33">
        <v>42313</v>
      </c>
      <c r="I160" s="23">
        <v>42313</v>
      </c>
      <c r="J160" t="s">
        <v>1005</v>
      </c>
      <c r="K160" t="s">
        <v>985</v>
      </c>
      <c r="L160" s="32">
        <v>25977931150</v>
      </c>
      <c r="M160" s="32" t="s">
        <v>580</v>
      </c>
      <c r="N160" s="32" t="s">
        <v>581</v>
      </c>
      <c r="O160">
        <v>427.84</v>
      </c>
      <c r="P160">
        <v>447.18</v>
      </c>
      <c r="Q160" t="s">
        <v>9</v>
      </c>
      <c r="R160" s="32">
        <v>25</v>
      </c>
      <c r="T160" s="32"/>
      <c r="W160" t="s">
        <v>9</v>
      </c>
      <c r="Z160" t="s">
        <v>988</v>
      </c>
      <c r="AC160" s="23">
        <v>42716</v>
      </c>
    </row>
    <row r="161" spans="1:29" hidden="1" x14ac:dyDescent="0.25">
      <c r="A161">
        <v>517</v>
      </c>
      <c r="B161" t="s">
        <v>9</v>
      </c>
      <c r="C161" s="32" t="s">
        <v>1018</v>
      </c>
      <c r="D161" s="32" t="s">
        <v>982</v>
      </c>
      <c r="E161" t="s">
        <v>983</v>
      </c>
      <c r="F161">
        <v>21</v>
      </c>
      <c r="G161" s="33">
        <v>25917</v>
      </c>
      <c r="H161" s="33">
        <v>42642</v>
      </c>
      <c r="I161" s="23">
        <v>42642</v>
      </c>
      <c r="J161" t="s">
        <v>1019</v>
      </c>
      <c r="K161" t="s">
        <v>985</v>
      </c>
      <c r="L161" s="32">
        <v>21877006581</v>
      </c>
      <c r="M161" s="32" t="s">
        <v>1020</v>
      </c>
      <c r="N161" s="32" t="s">
        <v>707</v>
      </c>
      <c r="O161">
        <v>310.82</v>
      </c>
      <c r="P161">
        <v>324.87</v>
      </c>
      <c r="Q161" t="s">
        <v>9</v>
      </c>
      <c r="R161" s="32">
        <v>23</v>
      </c>
      <c r="T161" s="32"/>
      <c r="W161" t="s">
        <v>9</v>
      </c>
      <c r="Z161" t="s">
        <v>988</v>
      </c>
      <c r="AC161" s="23">
        <v>42717</v>
      </c>
    </row>
    <row r="162" spans="1:29" hidden="1" x14ac:dyDescent="0.25">
      <c r="A162">
        <v>518</v>
      </c>
      <c r="B162" t="s">
        <v>9</v>
      </c>
      <c r="C162" s="32" t="s">
        <v>1021</v>
      </c>
      <c r="D162" s="32" t="s">
        <v>982</v>
      </c>
      <c r="E162" t="s">
        <v>983</v>
      </c>
      <c r="F162">
        <v>22</v>
      </c>
      <c r="G162" s="33">
        <v>24688</v>
      </c>
      <c r="H162" s="33">
        <v>42648</v>
      </c>
      <c r="I162" s="23">
        <v>42648</v>
      </c>
      <c r="J162" t="s">
        <v>990</v>
      </c>
      <c r="K162" t="s">
        <v>985</v>
      </c>
      <c r="L162" s="32">
        <v>14916788689</v>
      </c>
      <c r="M162" s="32" t="s">
        <v>1022</v>
      </c>
      <c r="N162" s="32" t="s">
        <v>1023</v>
      </c>
      <c r="O162">
        <v>428.38</v>
      </c>
      <c r="P162">
        <v>447.75</v>
      </c>
      <c r="Q162" t="s">
        <v>9</v>
      </c>
      <c r="R162" s="32">
        <v>22</v>
      </c>
      <c r="T162" s="32"/>
      <c r="W162" t="s">
        <v>9</v>
      </c>
      <c r="Z162" t="s">
        <v>988</v>
      </c>
      <c r="AC162" s="23">
        <v>42718</v>
      </c>
    </row>
    <row r="163" spans="1:29" hidden="1" x14ac:dyDescent="0.25">
      <c r="A163">
        <v>519</v>
      </c>
      <c r="B163" t="s">
        <v>9</v>
      </c>
      <c r="C163" s="32" t="s">
        <v>1024</v>
      </c>
      <c r="D163" s="32" t="s">
        <v>982</v>
      </c>
      <c r="E163" t="s">
        <v>983</v>
      </c>
      <c r="F163">
        <v>24</v>
      </c>
      <c r="G163" s="33">
        <v>24120</v>
      </c>
      <c r="H163" s="33">
        <v>42648</v>
      </c>
      <c r="I163" s="23">
        <v>42648</v>
      </c>
      <c r="J163" t="s">
        <v>984</v>
      </c>
      <c r="K163" t="s">
        <v>985</v>
      </c>
      <c r="L163" s="32">
        <v>94936601742</v>
      </c>
      <c r="M163" s="32" t="s">
        <v>1025</v>
      </c>
      <c r="N163" s="32" t="s">
        <v>1026</v>
      </c>
      <c r="O163">
        <v>428.38</v>
      </c>
      <c r="P163">
        <v>447.75</v>
      </c>
      <c r="Q163" t="s">
        <v>9</v>
      </c>
      <c r="R163" s="32">
        <v>22</v>
      </c>
      <c r="T163" s="32"/>
      <c r="W163" t="s">
        <v>9</v>
      </c>
      <c r="Z163" t="s">
        <v>988</v>
      </c>
      <c r="AC163" s="23">
        <v>42719</v>
      </c>
    </row>
    <row r="164" spans="1:29" hidden="1" x14ac:dyDescent="0.25">
      <c r="A164">
        <v>520</v>
      </c>
      <c r="B164" t="s">
        <v>9</v>
      </c>
      <c r="C164" s="32" t="s">
        <v>1027</v>
      </c>
      <c r="D164" s="32" t="s">
        <v>982</v>
      </c>
      <c r="E164" t="s">
        <v>983</v>
      </c>
      <c r="F164">
        <v>10</v>
      </c>
      <c r="G164" s="33">
        <v>24890</v>
      </c>
      <c r="H164" s="33">
        <v>42538</v>
      </c>
      <c r="I164" s="23">
        <v>42538</v>
      </c>
      <c r="J164" t="s">
        <v>994</v>
      </c>
      <c r="K164" t="s">
        <v>985</v>
      </c>
      <c r="L164" s="32">
        <v>94936101289</v>
      </c>
      <c r="M164" s="32" t="s">
        <v>1028</v>
      </c>
      <c r="N164" s="32" t="s">
        <v>1029</v>
      </c>
      <c r="O164">
        <v>428.38</v>
      </c>
      <c r="P164">
        <v>447.75</v>
      </c>
      <c r="Q164" t="s">
        <v>9</v>
      </c>
      <c r="R164" s="32">
        <v>22</v>
      </c>
      <c r="T164" s="32"/>
      <c r="W164" t="s">
        <v>9</v>
      </c>
      <c r="Z164" t="s">
        <v>988</v>
      </c>
      <c r="AC164" s="23">
        <v>42720</v>
      </c>
    </row>
    <row r="165" spans="1:29" hidden="1" x14ac:dyDescent="0.25">
      <c r="A165">
        <v>521</v>
      </c>
      <c r="B165">
        <v>0</v>
      </c>
      <c r="C165" s="32" t="s">
        <v>1030</v>
      </c>
      <c r="D165" s="32" t="s">
        <v>11</v>
      </c>
      <c r="E165" t="s">
        <v>1031</v>
      </c>
      <c r="F165">
        <v>810</v>
      </c>
      <c r="G165" s="33">
        <v>28492</v>
      </c>
      <c r="H165" s="33">
        <v>42725</v>
      </c>
      <c r="I165" s="23">
        <v>42725</v>
      </c>
      <c r="J165" t="s">
        <v>81</v>
      </c>
      <c r="K165" t="s">
        <v>82</v>
      </c>
      <c r="L165" s="32">
        <v>20977810462</v>
      </c>
      <c r="M165" s="32" t="s">
        <v>1032</v>
      </c>
      <c r="N165" s="32" t="s">
        <v>1033</v>
      </c>
      <c r="O165">
        <v>110.59</v>
      </c>
      <c r="P165">
        <v>115.59</v>
      </c>
      <c r="Q165">
        <v>450</v>
      </c>
      <c r="R165" s="32">
        <v>20</v>
      </c>
      <c r="S165" s="32" t="s">
        <v>94</v>
      </c>
      <c r="T165" s="32">
        <v>445546475164</v>
      </c>
      <c r="U165" t="s">
        <v>1034</v>
      </c>
      <c r="V165" t="s">
        <v>1035</v>
      </c>
      <c r="W165">
        <v>55243</v>
      </c>
      <c r="X165" t="s">
        <v>240</v>
      </c>
      <c r="Y165" t="s">
        <v>88</v>
      </c>
      <c r="Z165" t="s">
        <v>89</v>
      </c>
      <c r="AA165">
        <v>0</v>
      </c>
      <c r="AB165" t="s">
        <v>1036</v>
      </c>
      <c r="AC165" s="23">
        <v>43212</v>
      </c>
    </row>
    <row r="166" spans="1:29" hidden="1" x14ac:dyDescent="0.25">
      <c r="A166">
        <v>522</v>
      </c>
      <c r="B166">
        <v>0</v>
      </c>
      <c r="C166" s="32" t="s">
        <v>1037</v>
      </c>
      <c r="D166" s="32" t="s">
        <v>79</v>
      </c>
      <c r="E166" t="s">
        <v>202</v>
      </c>
      <c r="F166">
        <v>811</v>
      </c>
      <c r="G166" s="33">
        <v>29397</v>
      </c>
      <c r="H166" s="33">
        <v>42725</v>
      </c>
      <c r="I166" s="23">
        <v>43049</v>
      </c>
      <c r="J166" t="s">
        <v>81</v>
      </c>
      <c r="K166" t="s">
        <v>82</v>
      </c>
      <c r="L166" s="32">
        <v>67987801395</v>
      </c>
      <c r="M166" s="32" t="s">
        <v>1038</v>
      </c>
      <c r="N166" s="32" t="s">
        <v>1039</v>
      </c>
      <c r="O166">
        <v>110.59</v>
      </c>
      <c r="P166">
        <v>115.59</v>
      </c>
      <c r="Q166">
        <v>115.59</v>
      </c>
      <c r="R166" s="32">
        <v>20</v>
      </c>
      <c r="S166" s="32" t="s">
        <v>94</v>
      </c>
      <c r="T166" s="32">
        <v>5510705102</v>
      </c>
      <c r="U166" t="s">
        <v>1040</v>
      </c>
      <c r="V166" t="s">
        <v>1041</v>
      </c>
      <c r="W166">
        <v>74100</v>
      </c>
      <c r="X166" t="s">
        <v>1042</v>
      </c>
      <c r="Y166" t="s">
        <v>145</v>
      </c>
      <c r="Z166" t="s">
        <v>89</v>
      </c>
      <c r="AA166">
        <v>0</v>
      </c>
      <c r="AB166" t="s">
        <v>1043</v>
      </c>
      <c r="AC166" s="23">
        <v>42901</v>
      </c>
    </row>
    <row r="167" spans="1:29" hidden="1" x14ac:dyDescent="0.25">
      <c r="A167">
        <v>523</v>
      </c>
      <c r="B167">
        <v>0</v>
      </c>
      <c r="C167" s="32" t="s">
        <v>1044</v>
      </c>
      <c r="D167" s="32" t="s">
        <v>11</v>
      </c>
      <c r="E167" t="s">
        <v>1031</v>
      </c>
      <c r="F167">
        <v>812</v>
      </c>
      <c r="G167" s="33">
        <v>30926</v>
      </c>
      <c r="H167" s="33">
        <v>42731</v>
      </c>
      <c r="I167" s="23">
        <v>42731</v>
      </c>
      <c r="J167" t="s">
        <v>81</v>
      </c>
      <c r="K167" t="s">
        <v>82</v>
      </c>
      <c r="L167" s="32">
        <v>72108403915</v>
      </c>
      <c r="M167" s="32" t="s">
        <v>1045</v>
      </c>
      <c r="N167" s="32" t="s">
        <v>1046</v>
      </c>
      <c r="O167">
        <v>110.59</v>
      </c>
      <c r="P167">
        <v>115.59</v>
      </c>
      <c r="Q167">
        <v>0</v>
      </c>
      <c r="R167" s="32">
        <v>20</v>
      </c>
      <c r="S167" s="32" t="s">
        <v>94</v>
      </c>
      <c r="T167" s="32">
        <v>7474997743</v>
      </c>
      <c r="U167" t="s">
        <v>1047</v>
      </c>
      <c r="V167" t="s">
        <v>1048</v>
      </c>
      <c r="W167">
        <v>39120</v>
      </c>
      <c r="X167" t="s">
        <v>316</v>
      </c>
      <c r="Y167" t="s">
        <v>1049</v>
      </c>
      <c r="Z167" t="s">
        <v>89</v>
      </c>
      <c r="AA167">
        <v>0</v>
      </c>
      <c r="AB167" t="s">
        <v>1050</v>
      </c>
      <c r="AC167" s="23">
        <v>43151</v>
      </c>
    </row>
    <row r="168" spans="1:29" hidden="1" x14ac:dyDescent="0.25">
      <c r="A168">
        <v>524</v>
      </c>
      <c r="B168">
        <v>0</v>
      </c>
      <c r="C168" s="32" t="s">
        <v>1051</v>
      </c>
      <c r="D168" s="32" t="s">
        <v>11</v>
      </c>
      <c r="E168" t="s">
        <v>1052</v>
      </c>
      <c r="F168">
        <v>799</v>
      </c>
      <c r="G168" s="33">
        <v>27193</v>
      </c>
      <c r="H168" s="33">
        <v>42702</v>
      </c>
      <c r="I168" s="23">
        <v>42702</v>
      </c>
      <c r="J168" t="s">
        <v>81</v>
      </c>
      <c r="K168" t="s">
        <v>82</v>
      </c>
      <c r="L168" s="32">
        <v>72057403676</v>
      </c>
      <c r="M168" s="32" t="s">
        <v>1053</v>
      </c>
      <c r="N168" s="32" t="s">
        <v>1054</v>
      </c>
      <c r="O168">
        <v>110.59</v>
      </c>
      <c r="P168">
        <v>115.59</v>
      </c>
      <c r="Q168">
        <v>450</v>
      </c>
      <c r="R168" s="32">
        <v>20</v>
      </c>
      <c r="S168" s="32" t="s">
        <v>94</v>
      </c>
      <c r="T168" s="32">
        <v>457561061957</v>
      </c>
      <c r="U168" t="s">
        <v>1055</v>
      </c>
      <c r="V168" t="s">
        <v>1056</v>
      </c>
      <c r="W168">
        <v>41100</v>
      </c>
      <c r="X168" t="s">
        <v>1057</v>
      </c>
      <c r="Y168" t="s">
        <v>193</v>
      </c>
      <c r="Z168" t="s">
        <v>89</v>
      </c>
      <c r="AA168" t="s">
        <v>710</v>
      </c>
      <c r="AB168" t="s">
        <v>1058</v>
      </c>
      <c r="AC168" s="23">
        <v>42841</v>
      </c>
    </row>
    <row r="169" spans="1:29" hidden="1" x14ac:dyDescent="0.25">
      <c r="A169">
        <v>525</v>
      </c>
      <c r="B169">
        <v>0</v>
      </c>
      <c r="C169" s="32" t="s">
        <v>1059</v>
      </c>
      <c r="D169" s="32" t="s">
        <v>11</v>
      </c>
      <c r="E169" t="s">
        <v>1052</v>
      </c>
      <c r="F169">
        <v>814</v>
      </c>
      <c r="G169" s="33">
        <v>27691</v>
      </c>
      <c r="H169" s="33">
        <v>42742</v>
      </c>
      <c r="I169" s="23">
        <v>42742</v>
      </c>
      <c r="J169" t="s">
        <v>81</v>
      </c>
      <c r="K169" t="s">
        <v>82</v>
      </c>
      <c r="L169" s="32">
        <v>96917562553</v>
      </c>
      <c r="M169" s="32" t="s">
        <v>1060</v>
      </c>
      <c r="N169" s="32" t="s">
        <v>1061</v>
      </c>
      <c r="O169">
        <v>110.59</v>
      </c>
      <c r="P169">
        <v>115.59</v>
      </c>
      <c r="Q169">
        <v>115.59</v>
      </c>
      <c r="R169" s="32">
        <v>20</v>
      </c>
      <c r="S169" s="32" t="s">
        <v>94</v>
      </c>
      <c r="T169" s="32">
        <v>445566038760</v>
      </c>
      <c r="U169" t="s">
        <v>1062</v>
      </c>
      <c r="V169" t="s">
        <v>1063</v>
      </c>
      <c r="W169">
        <v>56070</v>
      </c>
      <c r="X169" t="s">
        <v>1064</v>
      </c>
      <c r="Y169" t="s">
        <v>88</v>
      </c>
      <c r="Z169" t="s">
        <v>89</v>
      </c>
      <c r="AB169" t="s">
        <v>1065</v>
      </c>
      <c r="AC169" s="23">
        <v>42974</v>
      </c>
    </row>
    <row r="170" spans="1:29" hidden="1" x14ac:dyDescent="0.25">
      <c r="A170">
        <v>526</v>
      </c>
      <c r="B170">
        <v>0</v>
      </c>
      <c r="C170" s="32" t="s">
        <v>1066</v>
      </c>
      <c r="D170" s="32" t="s">
        <v>11</v>
      </c>
      <c r="E170" t="s">
        <v>1052</v>
      </c>
      <c r="F170">
        <v>806</v>
      </c>
      <c r="G170" s="33">
        <v>29573</v>
      </c>
      <c r="H170" s="33">
        <v>42714</v>
      </c>
      <c r="I170" s="23">
        <v>42714</v>
      </c>
      <c r="J170" t="s">
        <v>81</v>
      </c>
      <c r="K170" t="s">
        <v>82</v>
      </c>
      <c r="L170" s="32">
        <v>13048000023</v>
      </c>
      <c r="M170" s="32" t="s">
        <v>1067</v>
      </c>
      <c r="N170" s="32" t="s">
        <v>1068</v>
      </c>
      <c r="O170">
        <v>110.59</v>
      </c>
      <c r="P170">
        <v>115.59</v>
      </c>
      <c r="Q170">
        <v>0</v>
      </c>
      <c r="R170" s="32">
        <v>20</v>
      </c>
      <c r="S170" s="32" t="s">
        <v>94</v>
      </c>
      <c r="T170" s="32">
        <v>457712944196</v>
      </c>
      <c r="U170" t="s">
        <v>1069</v>
      </c>
      <c r="V170" t="s">
        <v>1070</v>
      </c>
      <c r="W170">
        <v>42740</v>
      </c>
      <c r="X170" t="s">
        <v>939</v>
      </c>
      <c r="Y170" t="s">
        <v>133</v>
      </c>
      <c r="Z170" t="s">
        <v>89</v>
      </c>
      <c r="AA170">
        <v>0</v>
      </c>
      <c r="AB170" t="s">
        <v>1071</v>
      </c>
      <c r="AC170" s="23">
        <v>43408</v>
      </c>
    </row>
    <row r="171" spans="1:29" hidden="1" x14ac:dyDescent="0.25">
      <c r="A171">
        <v>527</v>
      </c>
      <c r="B171">
        <v>0</v>
      </c>
      <c r="C171" s="32" t="s">
        <v>1072</v>
      </c>
      <c r="D171" s="32" t="s">
        <v>79</v>
      </c>
      <c r="E171" t="s">
        <v>906</v>
      </c>
      <c r="F171">
        <v>818</v>
      </c>
      <c r="G171" s="33">
        <v>26011</v>
      </c>
      <c r="H171" s="33">
        <v>42793</v>
      </c>
      <c r="I171" s="23">
        <v>42989</v>
      </c>
      <c r="J171" t="s">
        <v>81</v>
      </c>
      <c r="K171" t="s">
        <v>82</v>
      </c>
      <c r="L171" s="32">
        <v>4877179814</v>
      </c>
      <c r="M171" s="32" t="s">
        <v>1073</v>
      </c>
      <c r="N171" s="32" t="s">
        <v>1074</v>
      </c>
      <c r="O171">
        <v>110.59</v>
      </c>
      <c r="P171">
        <v>115.59</v>
      </c>
      <c r="Q171">
        <v>115.59</v>
      </c>
      <c r="R171" s="32">
        <v>20</v>
      </c>
      <c r="S171" s="32" t="s">
        <v>94</v>
      </c>
      <c r="T171" s="32" t="s">
        <v>1075</v>
      </c>
      <c r="U171" t="s">
        <v>1076</v>
      </c>
      <c r="V171" t="s">
        <v>1077</v>
      </c>
      <c r="W171">
        <v>54743</v>
      </c>
      <c r="X171" t="s">
        <v>1078</v>
      </c>
      <c r="Y171" t="s">
        <v>88</v>
      </c>
      <c r="Z171" t="s">
        <v>89</v>
      </c>
      <c r="AB171" t="s">
        <v>1079</v>
      </c>
      <c r="AC171" s="23">
        <v>42885</v>
      </c>
    </row>
    <row r="172" spans="1:29" hidden="1" x14ac:dyDescent="0.25">
      <c r="A172">
        <v>528</v>
      </c>
      <c r="B172">
        <v>0</v>
      </c>
      <c r="C172" s="32" t="s">
        <v>1080</v>
      </c>
      <c r="D172" s="32" t="s">
        <v>11</v>
      </c>
      <c r="E172" t="s">
        <v>906</v>
      </c>
      <c r="F172">
        <v>822</v>
      </c>
      <c r="G172" s="33">
        <v>22671</v>
      </c>
      <c r="H172" s="33">
        <v>42794</v>
      </c>
      <c r="I172" s="23">
        <v>42794</v>
      </c>
      <c r="J172" t="s">
        <v>81</v>
      </c>
      <c r="K172" t="s">
        <v>82</v>
      </c>
      <c r="L172" s="32">
        <v>1786264380</v>
      </c>
      <c r="M172" s="32" t="s">
        <v>1081</v>
      </c>
      <c r="N172" s="32" t="s">
        <v>1082</v>
      </c>
      <c r="O172">
        <v>110.59</v>
      </c>
      <c r="P172">
        <v>115.59</v>
      </c>
      <c r="Q172">
        <v>450</v>
      </c>
      <c r="R172" s="32">
        <v>20</v>
      </c>
      <c r="S172" s="32" t="s">
        <v>94</v>
      </c>
      <c r="T172" s="32">
        <v>7713684097</v>
      </c>
      <c r="U172" t="s">
        <v>1083</v>
      </c>
      <c r="V172" t="s">
        <v>1084</v>
      </c>
      <c r="W172">
        <v>42083</v>
      </c>
      <c r="X172" t="s">
        <v>1085</v>
      </c>
      <c r="Y172" t="s">
        <v>133</v>
      </c>
      <c r="Z172" t="s">
        <v>89</v>
      </c>
      <c r="AB172" t="s">
        <v>1086</v>
      </c>
      <c r="AC172" s="23">
        <v>42802</v>
      </c>
    </row>
    <row r="173" spans="1:29" hidden="1" x14ac:dyDescent="0.25">
      <c r="A173">
        <v>529</v>
      </c>
      <c r="B173">
        <v>0</v>
      </c>
      <c r="C173" s="32" t="s">
        <v>1087</v>
      </c>
      <c r="D173" s="32" t="s">
        <v>79</v>
      </c>
      <c r="E173" t="s">
        <v>202</v>
      </c>
      <c r="F173">
        <v>821</v>
      </c>
      <c r="G173" s="33">
        <v>24244</v>
      </c>
      <c r="H173" s="33">
        <v>42794</v>
      </c>
      <c r="I173" s="23">
        <v>43350</v>
      </c>
      <c r="J173" t="s">
        <v>81</v>
      </c>
      <c r="K173" t="s">
        <v>82</v>
      </c>
      <c r="L173" s="32">
        <v>20876600758</v>
      </c>
      <c r="M173" s="32" t="s">
        <v>1088</v>
      </c>
      <c r="N173" s="32" t="s">
        <v>1089</v>
      </c>
      <c r="O173">
        <v>110.59</v>
      </c>
      <c r="P173">
        <v>115.59</v>
      </c>
      <c r="Q173">
        <v>450</v>
      </c>
      <c r="R173" s="32">
        <v>20</v>
      </c>
      <c r="S173" s="32" t="s">
        <v>94</v>
      </c>
      <c r="T173" s="32">
        <v>457731038493</v>
      </c>
      <c r="U173" t="s">
        <v>1090</v>
      </c>
      <c r="V173" t="s">
        <v>1091</v>
      </c>
      <c r="W173">
        <v>7160</v>
      </c>
      <c r="X173" t="s">
        <v>1092</v>
      </c>
      <c r="Y173" t="s">
        <v>223</v>
      </c>
      <c r="Z173" t="s">
        <v>89</v>
      </c>
      <c r="AB173" t="s">
        <v>1093</v>
      </c>
      <c r="AC173" s="23">
        <v>42901</v>
      </c>
    </row>
    <row r="174" spans="1:29" hidden="1" x14ac:dyDescent="0.25">
      <c r="A174">
        <v>530</v>
      </c>
      <c r="B174">
        <v>0</v>
      </c>
      <c r="C174" s="32" t="s">
        <v>1094</v>
      </c>
      <c r="D174" s="32" t="s">
        <v>79</v>
      </c>
      <c r="E174" t="s">
        <v>92</v>
      </c>
      <c r="F174">
        <v>824</v>
      </c>
      <c r="G174" s="33">
        <v>26091</v>
      </c>
      <c r="H174" s="33">
        <v>42797</v>
      </c>
      <c r="I174" s="23">
        <v>43025</v>
      </c>
      <c r="J174" t="s">
        <v>81</v>
      </c>
      <c r="K174" t="s">
        <v>82</v>
      </c>
      <c r="L174" s="32">
        <v>1897126106</v>
      </c>
      <c r="M174" s="32" t="s">
        <v>1095</v>
      </c>
      <c r="N174" s="32" t="s">
        <v>1096</v>
      </c>
      <c r="O174">
        <v>110.59</v>
      </c>
      <c r="P174">
        <v>115.59</v>
      </c>
      <c r="Q174">
        <v>450</v>
      </c>
      <c r="R174" s="32">
        <v>20</v>
      </c>
      <c r="S174" s="32" t="s">
        <v>94</v>
      </c>
      <c r="T174" s="32">
        <v>5524363758</v>
      </c>
      <c r="U174" t="s">
        <v>1097</v>
      </c>
      <c r="V174" t="s">
        <v>1098</v>
      </c>
      <c r="W174">
        <v>55770</v>
      </c>
      <c r="X174" t="s">
        <v>88</v>
      </c>
      <c r="Y174" t="s">
        <v>223</v>
      </c>
      <c r="Z174" t="s">
        <v>89</v>
      </c>
      <c r="AB174" t="s">
        <v>1099</v>
      </c>
      <c r="AC174" s="23">
        <v>42993</v>
      </c>
    </row>
    <row r="175" spans="1:29" hidden="1" x14ac:dyDescent="0.25">
      <c r="A175">
        <v>531</v>
      </c>
      <c r="B175">
        <v>0</v>
      </c>
      <c r="C175" s="32" t="s">
        <v>1100</v>
      </c>
      <c r="D175" s="32" t="s">
        <v>11</v>
      </c>
      <c r="E175" t="s">
        <v>1031</v>
      </c>
      <c r="F175">
        <v>823</v>
      </c>
      <c r="G175" s="33">
        <v>27191</v>
      </c>
      <c r="H175" s="33">
        <v>42800</v>
      </c>
      <c r="I175" s="23">
        <v>42800</v>
      </c>
      <c r="J175" t="s">
        <v>81</v>
      </c>
      <c r="K175" t="s">
        <v>82</v>
      </c>
      <c r="L175" s="32">
        <v>48007414567</v>
      </c>
      <c r="M175" s="32" t="s">
        <v>1101</v>
      </c>
      <c r="N175" s="32" t="s">
        <v>1102</v>
      </c>
      <c r="O175">
        <v>110.59</v>
      </c>
      <c r="P175">
        <v>115.59</v>
      </c>
      <c r="Q175">
        <v>115.59</v>
      </c>
      <c r="R175" s="32">
        <v>20</v>
      </c>
      <c r="S175" s="32" t="s">
        <v>204</v>
      </c>
      <c r="T175" s="32">
        <v>7831068818</v>
      </c>
      <c r="U175" t="s">
        <v>1103</v>
      </c>
      <c r="V175" t="s">
        <v>1104</v>
      </c>
      <c r="W175">
        <v>73080</v>
      </c>
      <c r="X175" t="s">
        <v>1105</v>
      </c>
      <c r="Y175" t="s">
        <v>145</v>
      </c>
      <c r="Z175" t="s">
        <v>89</v>
      </c>
      <c r="AA175">
        <v>1309092401</v>
      </c>
      <c r="AB175" t="s">
        <v>1106</v>
      </c>
      <c r="AC175" s="23">
        <v>43184</v>
      </c>
    </row>
    <row r="176" spans="1:29" hidden="1" x14ac:dyDescent="0.25">
      <c r="A176">
        <v>533</v>
      </c>
      <c r="B176">
        <v>0</v>
      </c>
      <c r="C176" s="32" t="s">
        <v>1107</v>
      </c>
      <c r="D176" s="32" t="s">
        <v>79</v>
      </c>
      <c r="E176" t="s">
        <v>120</v>
      </c>
      <c r="F176">
        <v>292</v>
      </c>
      <c r="G176" s="33">
        <v>31091</v>
      </c>
      <c r="H176" s="33">
        <v>42823</v>
      </c>
      <c r="I176" s="23">
        <v>42824</v>
      </c>
      <c r="J176" t="s">
        <v>81</v>
      </c>
      <c r="K176" t="s">
        <v>82</v>
      </c>
      <c r="L176" s="32">
        <v>940585064603</v>
      </c>
      <c r="M176" s="32" t="s">
        <v>1108</v>
      </c>
      <c r="N176" s="32" t="s">
        <v>1109</v>
      </c>
      <c r="O176">
        <v>110.59</v>
      </c>
      <c r="P176">
        <v>115.59</v>
      </c>
      <c r="Q176">
        <v>115.59</v>
      </c>
      <c r="R176" s="32">
        <v>20</v>
      </c>
      <c r="S176" s="32" t="s">
        <v>94</v>
      </c>
      <c r="T176" s="32">
        <v>5591059499</v>
      </c>
      <c r="U176" t="s">
        <v>1110</v>
      </c>
      <c r="V176" t="s">
        <v>1111</v>
      </c>
      <c r="W176">
        <v>56030</v>
      </c>
      <c r="X176" t="s">
        <v>1112</v>
      </c>
      <c r="Y176" t="s">
        <v>223</v>
      </c>
      <c r="Z176" t="s">
        <v>89</v>
      </c>
      <c r="AA176" t="s">
        <v>710</v>
      </c>
      <c r="AC176" s="23">
        <v>43375</v>
      </c>
    </row>
    <row r="177" spans="1:29" hidden="1" x14ac:dyDescent="0.25">
      <c r="A177">
        <v>534</v>
      </c>
      <c r="B177">
        <v>0</v>
      </c>
      <c r="C177" s="32" t="s">
        <v>1113</v>
      </c>
      <c r="D177" s="32" t="s">
        <v>79</v>
      </c>
      <c r="E177" t="s">
        <v>906</v>
      </c>
      <c r="F177">
        <v>829</v>
      </c>
      <c r="G177" s="33">
        <v>29512</v>
      </c>
      <c r="H177" s="33">
        <v>42825</v>
      </c>
      <c r="I177" s="23">
        <v>43318</v>
      </c>
      <c r="J177" t="s">
        <v>81</v>
      </c>
      <c r="K177" t="s">
        <v>82</v>
      </c>
      <c r="L177" s="32">
        <v>90998003108</v>
      </c>
      <c r="M177" s="32" t="s">
        <v>2411</v>
      </c>
      <c r="N177" s="32" t="s">
        <v>1114</v>
      </c>
      <c r="O177">
        <v>110.59</v>
      </c>
      <c r="P177">
        <v>115.59</v>
      </c>
      <c r="Q177">
        <v>115.59</v>
      </c>
      <c r="R177" s="32">
        <v>20</v>
      </c>
      <c r="S177" s="32" t="s">
        <v>94</v>
      </c>
      <c r="T177" s="32" t="s">
        <v>1115</v>
      </c>
      <c r="U177" t="s">
        <v>1116</v>
      </c>
      <c r="V177" t="s">
        <v>1117</v>
      </c>
      <c r="W177">
        <v>53420</v>
      </c>
      <c r="X177" t="s">
        <v>1118</v>
      </c>
      <c r="Y177" t="s">
        <v>88</v>
      </c>
      <c r="Z177" t="s">
        <v>89</v>
      </c>
      <c r="AA177">
        <v>1510629204</v>
      </c>
      <c r="AB177" t="s">
        <v>1119</v>
      </c>
      <c r="AC177" s="23">
        <v>42885</v>
      </c>
    </row>
    <row r="178" spans="1:29" hidden="1" x14ac:dyDescent="0.25">
      <c r="A178">
        <v>535</v>
      </c>
      <c r="B178">
        <v>0</v>
      </c>
      <c r="C178" s="32" t="s">
        <v>1120</v>
      </c>
      <c r="D178" s="32" t="s">
        <v>79</v>
      </c>
      <c r="E178" t="s">
        <v>906</v>
      </c>
      <c r="F178">
        <v>484</v>
      </c>
      <c r="G178" s="33">
        <v>23124</v>
      </c>
      <c r="H178" s="33">
        <v>42826</v>
      </c>
      <c r="I178" s="23">
        <v>42857</v>
      </c>
      <c r="J178" t="s">
        <v>81</v>
      </c>
      <c r="K178" t="s">
        <v>82</v>
      </c>
      <c r="L178" s="32">
        <v>19796314607</v>
      </c>
      <c r="M178" s="32" t="s">
        <v>2412</v>
      </c>
      <c r="N178" s="32" t="s">
        <v>1121</v>
      </c>
      <c r="O178">
        <v>110.59</v>
      </c>
      <c r="P178">
        <v>115.59</v>
      </c>
      <c r="Q178">
        <v>115.59</v>
      </c>
      <c r="R178" s="32">
        <v>20</v>
      </c>
      <c r="S178" s="32" t="s">
        <v>94</v>
      </c>
      <c r="T178" s="32" t="s">
        <v>1122</v>
      </c>
      <c r="U178" t="s">
        <v>1123</v>
      </c>
      <c r="V178" t="s">
        <v>1124</v>
      </c>
      <c r="W178">
        <v>55339</v>
      </c>
      <c r="X178" t="s">
        <v>240</v>
      </c>
      <c r="Y178" t="s">
        <v>88</v>
      </c>
      <c r="Z178" t="s">
        <v>89</v>
      </c>
      <c r="AB178" t="s">
        <v>1125</v>
      </c>
      <c r="AC178" s="23">
        <v>42885</v>
      </c>
    </row>
    <row r="179" spans="1:29" hidden="1" x14ac:dyDescent="0.25">
      <c r="A179">
        <v>537</v>
      </c>
      <c r="B179">
        <v>0</v>
      </c>
      <c r="C179" s="32" t="s">
        <v>1126</v>
      </c>
      <c r="D179" s="32" t="s">
        <v>79</v>
      </c>
      <c r="E179" t="s">
        <v>92</v>
      </c>
      <c r="F179">
        <v>831</v>
      </c>
      <c r="G179" s="33">
        <v>30886</v>
      </c>
      <c r="H179" s="33">
        <v>42853</v>
      </c>
      <c r="I179" s="23">
        <v>43581</v>
      </c>
      <c r="J179" t="s">
        <v>81</v>
      </c>
      <c r="K179" t="s">
        <v>82</v>
      </c>
      <c r="L179" s="32">
        <v>14038426178</v>
      </c>
      <c r="M179" s="32" t="s">
        <v>2413</v>
      </c>
      <c r="N179" s="32" t="s">
        <v>1127</v>
      </c>
      <c r="O179">
        <v>110.59</v>
      </c>
      <c r="P179">
        <v>115.59</v>
      </c>
      <c r="Q179">
        <v>115.59</v>
      </c>
      <c r="R179" s="32">
        <v>20</v>
      </c>
      <c r="S179" s="32" t="s">
        <v>94</v>
      </c>
      <c r="T179" s="32">
        <v>45442712484</v>
      </c>
      <c r="U179" t="s">
        <v>1128</v>
      </c>
      <c r="V179" t="s">
        <v>1129</v>
      </c>
      <c r="W179">
        <v>76269</v>
      </c>
      <c r="X179" t="s">
        <v>1130</v>
      </c>
      <c r="Y179" t="s">
        <v>1131</v>
      </c>
      <c r="Z179" t="s">
        <v>89</v>
      </c>
      <c r="AA179" t="s">
        <v>12</v>
      </c>
      <c r="AB179" t="s">
        <v>1132</v>
      </c>
      <c r="AC179" s="23">
        <v>43196</v>
      </c>
    </row>
    <row r="180" spans="1:29" hidden="1" x14ac:dyDescent="0.25">
      <c r="A180">
        <v>538</v>
      </c>
      <c r="B180">
        <v>0</v>
      </c>
      <c r="C180" s="32" t="s">
        <v>1133</v>
      </c>
      <c r="D180" s="32" t="s">
        <v>79</v>
      </c>
      <c r="E180" t="s">
        <v>120</v>
      </c>
      <c r="F180">
        <v>833</v>
      </c>
      <c r="G180" s="33">
        <v>30872</v>
      </c>
      <c r="H180" s="33">
        <v>42857</v>
      </c>
      <c r="I180" s="23">
        <v>43419</v>
      </c>
      <c r="J180" t="s">
        <v>81</v>
      </c>
      <c r="K180" t="s">
        <v>82</v>
      </c>
      <c r="L180" s="32">
        <v>94098402129</v>
      </c>
      <c r="M180" s="32" t="s">
        <v>2414</v>
      </c>
      <c r="N180" s="32" t="s">
        <v>1134</v>
      </c>
      <c r="O180">
        <v>110.59</v>
      </c>
      <c r="P180">
        <v>115.59</v>
      </c>
      <c r="Q180">
        <v>115.59</v>
      </c>
      <c r="R180" s="32">
        <v>20</v>
      </c>
      <c r="S180" s="32" t="s">
        <v>94</v>
      </c>
      <c r="T180" s="32">
        <v>5513046928</v>
      </c>
      <c r="U180" t="s">
        <v>1135</v>
      </c>
      <c r="V180" t="s">
        <v>1136</v>
      </c>
      <c r="W180">
        <v>75507</v>
      </c>
      <c r="X180" t="s">
        <v>1137</v>
      </c>
      <c r="Y180" t="s">
        <v>145</v>
      </c>
      <c r="Z180" t="s">
        <v>89</v>
      </c>
      <c r="AA180" t="s">
        <v>14</v>
      </c>
      <c r="AB180" t="s">
        <v>1138</v>
      </c>
      <c r="AC180" s="23">
        <v>43369</v>
      </c>
    </row>
    <row r="181" spans="1:29" hidden="1" x14ac:dyDescent="0.25">
      <c r="A181">
        <v>539</v>
      </c>
      <c r="B181">
        <v>0</v>
      </c>
      <c r="C181" s="32" t="s">
        <v>1139</v>
      </c>
      <c r="D181" s="32" t="s">
        <v>11</v>
      </c>
      <c r="E181" t="s">
        <v>1140</v>
      </c>
      <c r="F181">
        <v>834</v>
      </c>
      <c r="G181" s="33">
        <v>30748</v>
      </c>
      <c r="H181" s="33">
        <v>42857</v>
      </c>
      <c r="I181" s="23">
        <v>42857</v>
      </c>
      <c r="J181" t="s">
        <v>81</v>
      </c>
      <c r="K181" t="s">
        <v>82</v>
      </c>
      <c r="L181" s="32">
        <v>92028400833</v>
      </c>
      <c r="M181" s="32" t="s">
        <v>2415</v>
      </c>
      <c r="N181" s="32" t="s">
        <v>1141</v>
      </c>
      <c r="O181">
        <v>110.59</v>
      </c>
      <c r="P181">
        <v>115.59</v>
      </c>
      <c r="Q181">
        <v>115.59</v>
      </c>
      <c r="R181" s="32">
        <v>20</v>
      </c>
      <c r="S181" s="32" t="s">
        <v>94</v>
      </c>
      <c r="T181" s="32">
        <v>5530465396</v>
      </c>
      <c r="U181" t="s">
        <v>1142</v>
      </c>
      <c r="V181" t="s">
        <v>812</v>
      </c>
      <c r="W181">
        <v>54240</v>
      </c>
      <c r="X181" t="s">
        <v>1143</v>
      </c>
      <c r="Y181" t="s">
        <v>223</v>
      </c>
      <c r="Z181" t="s">
        <v>89</v>
      </c>
      <c r="AA181" t="s">
        <v>14</v>
      </c>
      <c r="AB181" t="s">
        <v>1144</v>
      </c>
      <c r="AC181" s="23">
        <v>43498</v>
      </c>
    </row>
    <row r="182" spans="1:29" hidden="1" x14ac:dyDescent="0.25">
      <c r="A182">
        <v>540</v>
      </c>
      <c r="B182">
        <v>0</v>
      </c>
      <c r="C182" s="32" t="s">
        <v>1145</v>
      </c>
      <c r="D182" s="32" t="s">
        <v>79</v>
      </c>
      <c r="E182" t="s">
        <v>202</v>
      </c>
      <c r="F182">
        <v>838</v>
      </c>
      <c r="G182" s="33">
        <v>30825</v>
      </c>
      <c r="H182" s="33">
        <v>42868</v>
      </c>
      <c r="I182" s="23">
        <v>43597</v>
      </c>
      <c r="J182" t="s">
        <v>81</v>
      </c>
      <c r="K182" t="s">
        <v>82</v>
      </c>
      <c r="L182" s="32">
        <v>72048425911</v>
      </c>
      <c r="M182" s="32" t="s">
        <v>2416</v>
      </c>
      <c r="N182" s="32" t="s">
        <v>1146</v>
      </c>
      <c r="O182">
        <v>110.59</v>
      </c>
      <c r="P182">
        <v>115.59</v>
      </c>
      <c r="Q182">
        <v>115.59</v>
      </c>
      <c r="R182" s="32">
        <v>20</v>
      </c>
      <c r="S182" s="32" t="s">
        <v>94</v>
      </c>
      <c r="T182" s="32">
        <v>4641113055</v>
      </c>
      <c r="U182" t="s">
        <v>1147</v>
      </c>
      <c r="V182" t="s">
        <v>1148</v>
      </c>
      <c r="W182">
        <v>36723</v>
      </c>
      <c r="X182" t="s">
        <v>1149</v>
      </c>
      <c r="Y182" t="s">
        <v>601</v>
      </c>
      <c r="Z182" t="s">
        <v>89</v>
      </c>
      <c r="AA182">
        <v>1111330804</v>
      </c>
      <c r="AB182" t="s">
        <v>1150</v>
      </c>
      <c r="AC182" s="23">
        <v>42901</v>
      </c>
    </row>
    <row r="183" spans="1:29" hidden="1" x14ac:dyDescent="0.25">
      <c r="A183">
        <v>541</v>
      </c>
      <c r="B183">
        <v>0</v>
      </c>
      <c r="C183" s="32" t="s">
        <v>1151</v>
      </c>
      <c r="D183" s="32" t="s">
        <v>11</v>
      </c>
      <c r="E183" t="s">
        <v>92</v>
      </c>
      <c r="F183">
        <v>838</v>
      </c>
      <c r="G183" s="33">
        <v>29721</v>
      </c>
      <c r="H183" s="33">
        <v>42881</v>
      </c>
      <c r="I183" s="23">
        <v>42902</v>
      </c>
      <c r="J183" t="s">
        <v>81</v>
      </c>
      <c r="K183" t="s">
        <v>82</v>
      </c>
      <c r="L183" s="32">
        <v>13058108526</v>
      </c>
      <c r="M183" s="32" t="s">
        <v>1152</v>
      </c>
      <c r="N183" s="32" t="s">
        <v>1153</v>
      </c>
      <c r="O183">
        <v>110.59</v>
      </c>
      <c r="P183">
        <v>115.59</v>
      </c>
      <c r="Q183">
        <v>115.59</v>
      </c>
      <c r="R183" s="32">
        <v>20</v>
      </c>
      <c r="S183" s="32" t="s">
        <v>94</v>
      </c>
      <c r="T183" s="32">
        <v>2228636426</v>
      </c>
      <c r="U183" t="s">
        <v>1154</v>
      </c>
      <c r="V183" t="s">
        <v>1155</v>
      </c>
      <c r="W183">
        <v>73088</v>
      </c>
      <c r="X183" t="s">
        <v>1105</v>
      </c>
      <c r="Y183" t="s">
        <v>145</v>
      </c>
      <c r="Z183" t="s">
        <v>89</v>
      </c>
      <c r="AB183" t="s">
        <v>1156</v>
      </c>
      <c r="AC183" s="23">
        <v>42906</v>
      </c>
    </row>
    <row r="184" spans="1:29" hidden="1" x14ac:dyDescent="0.25">
      <c r="A184">
        <v>542</v>
      </c>
      <c r="B184">
        <v>0</v>
      </c>
      <c r="C184" s="32" t="s">
        <v>1157</v>
      </c>
      <c r="D184" s="32" t="s">
        <v>79</v>
      </c>
      <c r="E184" t="s">
        <v>92</v>
      </c>
      <c r="F184">
        <v>839</v>
      </c>
      <c r="G184" s="33">
        <v>29339</v>
      </c>
      <c r="H184" s="33">
        <v>42884</v>
      </c>
      <c r="I184" s="23">
        <v>42906</v>
      </c>
      <c r="J184" t="s">
        <v>81</v>
      </c>
      <c r="K184" t="s">
        <v>82</v>
      </c>
      <c r="L184" s="32">
        <v>15998028227</v>
      </c>
      <c r="M184" s="32" t="s">
        <v>1158</v>
      </c>
      <c r="N184" s="32" t="s">
        <v>1159</v>
      </c>
      <c r="O184">
        <v>110.59</v>
      </c>
      <c r="P184">
        <v>115.59</v>
      </c>
      <c r="Q184">
        <v>115.59</v>
      </c>
      <c r="R184" s="32">
        <v>20</v>
      </c>
      <c r="S184" s="32" t="s">
        <v>94</v>
      </c>
      <c r="T184" s="32" t="s">
        <v>1160</v>
      </c>
      <c r="U184" t="s">
        <v>1161</v>
      </c>
      <c r="V184" t="s">
        <v>1162</v>
      </c>
      <c r="W184">
        <v>62790</v>
      </c>
      <c r="X184" t="s">
        <v>1163</v>
      </c>
      <c r="Y184" t="s">
        <v>230</v>
      </c>
      <c r="Z184" t="s">
        <v>89</v>
      </c>
      <c r="AB184" t="s">
        <v>1164</v>
      </c>
      <c r="AC184" s="23">
        <v>43042</v>
      </c>
    </row>
    <row r="185" spans="1:29" hidden="1" x14ac:dyDescent="0.25">
      <c r="A185">
        <v>543</v>
      </c>
      <c r="B185">
        <v>0</v>
      </c>
      <c r="C185" s="32" t="s">
        <v>1165</v>
      </c>
      <c r="D185" s="32" t="s">
        <v>11</v>
      </c>
      <c r="E185" t="s">
        <v>92</v>
      </c>
      <c r="F185">
        <v>840</v>
      </c>
      <c r="G185" s="33">
        <v>27383</v>
      </c>
      <c r="H185" s="33">
        <v>42884</v>
      </c>
      <c r="I185" s="23">
        <v>42902</v>
      </c>
      <c r="J185" t="s">
        <v>81</v>
      </c>
      <c r="K185" t="s">
        <v>82</v>
      </c>
      <c r="L185" s="32">
        <v>62907502405</v>
      </c>
      <c r="M185" s="32" t="s">
        <v>1166</v>
      </c>
      <c r="N185" s="32" t="s">
        <v>1167</v>
      </c>
      <c r="O185">
        <v>110.59</v>
      </c>
      <c r="P185">
        <v>115.59</v>
      </c>
      <c r="Q185">
        <v>115.59</v>
      </c>
      <c r="R185" s="32">
        <v>20</v>
      </c>
      <c r="S185" s="32" t="s">
        <v>94</v>
      </c>
      <c r="T185" s="32" t="s">
        <v>1168</v>
      </c>
      <c r="U185" t="s">
        <v>1169</v>
      </c>
      <c r="V185" t="s">
        <v>1170</v>
      </c>
      <c r="W185">
        <v>72350</v>
      </c>
      <c r="X185" t="s">
        <v>145</v>
      </c>
      <c r="Y185" t="s">
        <v>145</v>
      </c>
      <c r="Z185" t="s">
        <v>89</v>
      </c>
      <c r="AB185" t="s">
        <v>1171</v>
      </c>
      <c r="AC185" s="23">
        <v>42906</v>
      </c>
    </row>
    <row r="186" spans="1:29" hidden="1" x14ac:dyDescent="0.25">
      <c r="A186">
        <v>544</v>
      </c>
      <c r="B186">
        <v>0</v>
      </c>
      <c r="C186" s="32" t="s">
        <v>1172</v>
      </c>
      <c r="D186" s="32" t="s">
        <v>11</v>
      </c>
      <c r="E186" t="s">
        <v>92</v>
      </c>
      <c r="F186">
        <v>841</v>
      </c>
      <c r="G186" s="33">
        <v>25492</v>
      </c>
      <c r="H186" s="33">
        <v>42889</v>
      </c>
      <c r="I186" s="23">
        <v>42902</v>
      </c>
      <c r="J186" t="s">
        <v>81</v>
      </c>
      <c r="K186" t="s">
        <v>82</v>
      </c>
      <c r="L186" s="32">
        <v>62896928934</v>
      </c>
      <c r="M186" s="32" t="s">
        <v>2417</v>
      </c>
      <c r="N186" s="32" t="s">
        <v>1173</v>
      </c>
      <c r="O186">
        <v>110.59</v>
      </c>
      <c r="P186">
        <v>115.59</v>
      </c>
      <c r="Q186">
        <v>115.59</v>
      </c>
      <c r="R186" s="32">
        <v>20</v>
      </c>
      <c r="S186" s="32" t="s">
        <v>94</v>
      </c>
      <c r="T186" s="32" t="s">
        <v>1174</v>
      </c>
      <c r="U186" t="s">
        <v>1175</v>
      </c>
      <c r="V186" t="s">
        <v>932</v>
      </c>
      <c r="W186">
        <v>55635</v>
      </c>
      <c r="X186" t="s">
        <v>87</v>
      </c>
      <c r="Y186" t="s">
        <v>223</v>
      </c>
      <c r="Z186" t="s">
        <v>89</v>
      </c>
      <c r="AB186" t="s">
        <v>1176</v>
      </c>
      <c r="AC186" s="23">
        <v>42906</v>
      </c>
    </row>
    <row r="187" spans="1:29" hidden="1" x14ac:dyDescent="0.25">
      <c r="A187">
        <v>545</v>
      </c>
      <c r="B187">
        <v>0</v>
      </c>
      <c r="C187" s="32" t="s">
        <v>1177</v>
      </c>
      <c r="D187" s="32" t="s">
        <v>79</v>
      </c>
      <c r="E187" t="s">
        <v>92</v>
      </c>
      <c r="F187">
        <v>842</v>
      </c>
      <c r="G187" s="33">
        <v>30569</v>
      </c>
      <c r="H187" s="33">
        <v>42893</v>
      </c>
      <c r="I187" s="23">
        <v>42906</v>
      </c>
      <c r="J187" t="s">
        <v>81</v>
      </c>
      <c r="K187" t="s">
        <v>82</v>
      </c>
      <c r="L187" s="32">
        <v>83998302059</v>
      </c>
      <c r="M187" s="32" t="s">
        <v>2418</v>
      </c>
      <c r="N187" s="32" t="s">
        <v>1178</v>
      </c>
      <c r="O187">
        <v>110.59</v>
      </c>
      <c r="P187">
        <v>115.59</v>
      </c>
      <c r="Q187">
        <v>115.59</v>
      </c>
      <c r="R187" s="32">
        <v>20</v>
      </c>
      <c r="S187" s="32" t="s">
        <v>94</v>
      </c>
      <c r="T187" s="32" t="s">
        <v>1179</v>
      </c>
      <c r="U187" t="s">
        <v>1180</v>
      </c>
      <c r="V187" t="s">
        <v>1181</v>
      </c>
      <c r="W187">
        <v>86280</v>
      </c>
      <c r="X187" t="s">
        <v>265</v>
      </c>
      <c r="Y187" t="s">
        <v>105</v>
      </c>
      <c r="Z187" t="s">
        <v>89</v>
      </c>
      <c r="AB187" t="s">
        <v>1182</v>
      </c>
      <c r="AC187" s="23">
        <v>42993</v>
      </c>
    </row>
    <row r="188" spans="1:29" hidden="1" x14ac:dyDescent="0.25">
      <c r="A188">
        <v>546</v>
      </c>
      <c r="B188">
        <v>0</v>
      </c>
      <c r="C188" s="32" t="s">
        <v>1183</v>
      </c>
      <c r="D188" s="32" t="s">
        <v>11</v>
      </c>
      <c r="E188" t="s">
        <v>92</v>
      </c>
      <c r="F188">
        <v>843</v>
      </c>
      <c r="G188" s="33">
        <v>29300</v>
      </c>
      <c r="H188" s="33">
        <v>42900</v>
      </c>
      <c r="I188" s="23">
        <v>43015</v>
      </c>
      <c r="J188" t="s">
        <v>81</v>
      </c>
      <c r="K188" t="s">
        <v>82</v>
      </c>
      <c r="L188" s="32">
        <v>13968042336</v>
      </c>
      <c r="M188" s="32" t="s">
        <v>1184</v>
      </c>
      <c r="N188" s="32" t="s">
        <v>1185</v>
      </c>
      <c r="O188">
        <v>110.59</v>
      </c>
      <c r="P188">
        <v>115.59</v>
      </c>
      <c r="Q188">
        <v>115.59</v>
      </c>
      <c r="R188" s="32">
        <v>20</v>
      </c>
      <c r="S188" s="32" t="s">
        <v>649</v>
      </c>
      <c r="T188" s="32">
        <v>457461119610</v>
      </c>
      <c r="U188" t="s">
        <v>1186</v>
      </c>
      <c r="V188" t="s">
        <v>1187</v>
      </c>
      <c r="W188">
        <v>73080</v>
      </c>
      <c r="X188" t="s">
        <v>1188</v>
      </c>
      <c r="Y188" t="s">
        <v>145</v>
      </c>
      <c r="Z188" t="s">
        <v>89</v>
      </c>
      <c r="AB188" t="s">
        <v>1189</v>
      </c>
      <c r="AC188" s="23">
        <v>42906</v>
      </c>
    </row>
    <row r="189" spans="1:29" hidden="1" x14ac:dyDescent="0.25">
      <c r="A189">
        <v>547</v>
      </c>
      <c r="B189">
        <v>0</v>
      </c>
      <c r="C189" s="32" t="s">
        <v>1190</v>
      </c>
      <c r="D189" s="32" t="s">
        <v>11</v>
      </c>
      <c r="E189" t="s">
        <v>92</v>
      </c>
      <c r="F189">
        <v>844</v>
      </c>
      <c r="G189" s="33">
        <v>25989</v>
      </c>
      <c r="H189" s="33">
        <v>42900</v>
      </c>
      <c r="I189" s="23">
        <v>42902</v>
      </c>
      <c r="J189" t="s">
        <v>81</v>
      </c>
      <c r="K189" t="s">
        <v>82</v>
      </c>
      <c r="L189" s="32">
        <v>7907149657</v>
      </c>
      <c r="M189" s="32" t="s">
        <v>1191</v>
      </c>
      <c r="N189" s="32" t="s">
        <v>1192</v>
      </c>
      <c r="O189">
        <v>110.59</v>
      </c>
      <c r="P189">
        <v>115.59</v>
      </c>
      <c r="Q189">
        <v>115.59</v>
      </c>
      <c r="R189" s="32">
        <v>20</v>
      </c>
      <c r="S189" s="32" t="s">
        <v>94</v>
      </c>
      <c r="T189" s="32">
        <v>445526651774</v>
      </c>
      <c r="U189" t="s">
        <v>1193</v>
      </c>
      <c r="V189" t="s">
        <v>1194</v>
      </c>
      <c r="W189">
        <v>55120</v>
      </c>
      <c r="X189" t="s">
        <v>240</v>
      </c>
      <c r="Y189" t="s">
        <v>88</v>
      </c>
      <c r="Z189" t="s">
        <v>89</v>
      </c>
      <c r="AA189">
        <v>1511671393</v>
      </c>
      <c r="AB189" t="s">
        <v>1195</v>
      </c>
      <c r="AC189" s="23">
        <v>42906</v>
      </c>
    </row>
    <row r="190" spans="1:29" hidden="1" x14ac:dyDescent="0.25">
      <c r="A190">
        <v>548</v>
      </c>
      <c r="B190">
        <v>0</v>
      </c>
      <c r="C190" s="32" t="s">
        <v>1196</v>
      </c>
      <c r="D190" s="32" t="s">
        <v>11</v>
      </c>
      <c r="E190" t="s">
        <v>92</v>
      </c>
      <c r="F190">
        <v>846</v>
      </c>
      <c r="G190" s="33">
        <v>32147</v>
      </c>
      <c r="H190" s="33">
        <v>42900</v>
      </c>
      <c r="I190" s="23">
        <v>43015</v>
      </c>
      <c r="J190" t="s">
        <v>81</v>
      </c>
      <c r="K190" t="s">
        <v>82</v>
      </c>
      <c r="L190" s="32">
        <v>16108814340</v>
      </c>
      <c r="M190" s="32" t="s">
        <v>1197</v>
      </c>
      <c r="N190" s="32" t="s">
        <v>1198</v>
      </c>
      <c r="O190">
        <v>110.59</v>
      </c>
      <c r="P190">
        <v>115.59</v>
      </c>
      <c r="Q190">
        <v>115.59</v>
      </c>
      <c r="R190" s="32">
        <v>20</v>
      </c>
      <c r="S190" s="32" t="s">
        <v>204</v>
      </c>
      <c r="T190" s="32" t="s">
        <v>1199</v>
      </c>
      <c r="U190" t="s">
        <v>1200</v>
      </c>
      <c r="V190" t="s">
        <v>1201</v>
      </c>
      <c r="W190">
        <v>51361</v>
      </c>
      <c r="X190" t="s">
        <v>1202</v>
      </c>
      <c r="Y190" t="s">
        <v>88</v>
      </c>
      <c r="Z190" t="s">
        <v>89</v>
      </c>
      <c r="AB190" t="s">
        <v>1203</v>
      </c>
      <c r="AC190" s="23">
        <v>42906</v>
      </c>
    </row>
    <row r="191" spans="1:29" hidden="1" x14ac:dyDescent="0.25">
      <c r="A191">
        <v>549</v>
      </c>
      <c r="B191">
        <v>0</v>
      </c>
      <c r="C191" s="32" t="s">
        <v>1204</v>
      </c>
      <c r="D191" s="32" t="s">
        <v>79</v>
      </c>
      <c r="E191" t="s">
        <v>120</v>
      </c>
      <c r="F191">
        <v>845</v>
      </c>
      <c r="G191" s="33">
        <v>24271</v>
      </c>
      <c r="H191" s="33">
        <v>42902</v>
      </c>
      <c r="I191" s="23">
        <v>42906</v>
      </c>
      <c r="J191" t="s">
        <v>81</v>
      </c>
      <c r="K191" t="s">
        <v>82</v>
      </c>
      <c r="L191" s="32">
        <v>61866610654</v>
      </c>
      <c r="M191" s="32" t="s">
        <v>1205</v>
      </c>
      <c r="N191" s="32" t="s">
        <v>2311</v>
      </c>
      <c r="O191">
        <v>110.59</v>
      </c>
      <c r="P191">
        <v>115.59</v>
      </c>
      <c r="Q191">
        <v>115.59</v>
      </c>
      <c r="R191" s="32">
        <v>20</v>
      </c>
      <c r="S191" s="32" t="s">
        <v>204</v>
      </c>
      <c r="T191" s="32" t="s">
        <v>1206</v>
      </c>
      <c r="U191" t="s">
        <v>1207</v>
      </c>
      <c r="V191" t="s">
        <v>1208</v>
      </c>
      <c r="W191">
        <v>43838</v>
      </c>
      <c r="X191" t="s">
        <v>1209</v>
      </c>
      <c r="Y191" t="s">
        <v>133</v>
      </c>
      <c r="Z191" t="s">
        <v>89</v>
      </c>
      <c r="AB191" t="s">
        <v>1210</v>
      </c>
      <c r="AC191" s="23">
        <v>43260</v>
      </c>
    </row>
    <row r="192" spans="1:29" hidden="1" x14ac:dyDescent="0.25">
      <c r="A192">
        <v>550</v>
      </c>
      <c r="B192">
        <v>0</v>
      </c>
      <c r="C192" s="32" t="s">
        <v>1211</v>
      </c>
      <c r="D192" s="32" t="s">
        <v>11</v>
      </c>
      <c r="E192" t="s">
        <v>92</v>
      </c>
      <c r="F192">
        <v>847</v>
      </c>
      <c r="G192" s="33">
        <v>27922</v>
      </c>
      <c r="H192" s="33">
        <v>42902</v>
      </c>
      <c r="I192" s="23">
        <v>43015</v>
      </c>
      <c r="J192" t="s">
        <v>81</v>
      </c>
      <c r="K192" t="s">
        <v>82</v>
      </c>
      <c r="L192" s="32">
        <v>45957618221</v>
      </c>
      <c r="M192" s="32" t="s">
        <v>1212</v>
      </c>
      <c r="N192" s="32" t="s">
        <v>1213</v>
      </c>
      <c r="O192">
        <v>110.59</v>
      </c>
      <c r="P192">
        <v>115.59</v>
      </c>
      <c r="Q192">
        <v>115.59</v>
      </c>
      <c r="R192" s="32">
        <v>20</v>
      </c>
      <c r="S192" s="32" t="s">
        <v>94</v>
      </c>
      <c r="T192" s="32">
        <v>445518396720</v>
      </c>
      <c r="U192" t="s">
        <v>1214</v>
      </c>
      <c r="V192" t="s">
        <v>1215</v>
      </c>
      <c r="W192">
        <v>56600</v>
      </c>
      <c r="X192" t="s">
        <v>1216</v>
      </c>
      <c r="Y192" t="s">
        <v>88</v>
      </c>
      <c r="Z192" t="s">
        <v>89</v>
      </c>
      <c r="AA192">
        <v>1505104761</v>
      </c>
      <c r="AB192" t="s">
        <v>1217</v>
      </c>
      <c r="AC192" s="23">
        <v>42906</v>
      </c>
    </row>
    <row r="193" spans="1:29" hidden="1" x14ac:dyDescent="0.25">
      <c r="A193">
        <v>551</v>
      </c>
      <c r="B193">
        <v>0</v>
      </c>
      <c r="C193" s="32" t="s">
        <v>1218</v>
      </c>
      <c r="D193" s="32" t="s">
        <v>79</v>
      </c>
      <c r="E193" t="s">
        <v>92</v>
      </c>
      <c r="F193">
        <v>848</v>
      </c>
      <c r="G193" s="33">
        <v>29931</v>
      </c>
      <c r="H193" s="33">
        <v>42902</v>
      </c>
      <c r="I193" s="23">
        <v>42906</v>
      </c>
      <c r="J193" t="s">
        <v>81</v>
      </c>
      <c r="K193" t="s">
        <v>82</v>
      </c>
      <c r="L193" s="32">
        <v>63978102018</v>
      </c>
      <c r="M193" s="32" t="s">
        <v>1219</v>
      </c>
      <c r="N193" s="32" t="s">
        <v>1220</v>
      </c>
      <c r="O193">
        <v>110.59</v>
      </c>
      <c r="P193">
        <v>115.59</v>
      </c>
      <c r="Q193">
        <v>115.59</v>
      </c>
      <c r="R193" s="32">
        <v>20</v>
      </c>
      <c r="S193" s="32" t="s">
        <v>94</v>
      </c>
      <c r="T193" s="32">
        <v>454291027884</v>
      </c>
      <c r="U193" t="s">
        <v>1221</v>
      </c>
      <c r="V193" t="s">
        <v>1222</v>
      </c>
      <c r="W193">
        <v>36970</v>
      </c>
      <c r="X193" t="s">
        <v>600</v>
      </c>
      <c r="Y193" t="s">
        <v>601</v>
      </c>
      <c r="Z193" t="s">
        <v>89</v>
      </c>
      <c r="AB193" t="s">
        <v>1223</v>
      </c>
      <c r="AC193" s="23">
        <v>43701</v>
      </c>
    </row>
    <row r="194" spans="1:29" hidden="1" x14ac:dyDescent="0.25">
      <c r="A194">
        <v>552</v>
      </c>
      <c r="B194">
        <v>0</v>
      </c>
      <c r="C194" s="32" t="s">
        <v>1224</v>
      </c>
      <c r="D194" s="32" t="s">
        <v>11</v>
      </c>
      <c r="E194" t="s">
        <v>80</v>
      </c>
      <c r="F194">
        <v>850</v>
      </c>
      <c r="G194" s="33">
        <v>22821</v>
      </c>
      <c r="H194" s="33">
        <v>42907</v>
      </c>
      <c r="I194" s="23">
        <v>42907</v>
      </c>
      <c r="J194" t="s">
        <v>81</v>
      </c>
      <c r="K194" t="s">
        <v>82</v>
      </c>
      <c r="L194" s="32">
        <v>65796215088</v>
      </c>
      <c r="M194" s="32" t="s">
        <v>2419</v>
      </c>
      <c r="N194" s="32" t="s">
        <v>1225</v>
      </c>
      <c r="O194">
        <v>110.59</v>
      </c>
      <c r="P194">
        <v>115.59</v>
      </c>
      <c r="Q194">
        <v>115.59</v>
      </c>
      <c r="R194" s="32">
        <v>20</v>
      </c>
      <c r="S194" s="32" t="s">
        <v>94</v>
      </c>
      <c r="T194" s="32" t="s">
        <v>1226</v>
      </c>
      <c r="U194" t="s">
        <v>1227</v>
      </c>
      <c r="V194" t="s">
        <v>1228</v>
      </c>
      <c r="W194">
        <v>92900</v>
      </c>
      <c r="X194" t="s">
        <v>1229</v>
      </c>
      <c r="Y194" t="s">
        <v>1230</v>
      </c>
      <c r="Z194" t="s">
        <v>89</v>
      </c>
      <c r="AB194" t="s">
        <v>1231</v>
      </c>
      <c r="AC194" s="23">
        <v>43039</v>
      </c>
    </row>
    <row r="195" spans="1:29" hidden="1" x14ac:dyDescent="0.25">
      <c r="A195">
        <v>553</v>
      </c>
      <c r="B195">
        <v>0</v>
      </c>
      <c r="C195" s="32" t="s">
        <v>1232</v>
      </c>
      <c r="D195" s="32" t="s">
        <v>11</v>
      </c>
      <c r="E195" t="s">
        <v>80</v>
      </c>
      <c r="F195">
        <v>290</v>
      </c>
      <c r="G195" s="33">
        <v>28484</v>
      </c>
      <c r="H195" s="33">
        <v>42913</v>
      </c>
      <c r="I195" s="23">
        <v>42913</v>
      </c>
      <c r="J195" t="s">
        <v>81</v>
      </c>
      <c r="K195" t="s">
        <v>82</v>
      </c>
      <c r="L195" s="32">
        <v>92957754432</v>
      </c>
      <c r="M195" s="32" t="s">
        <v>1233</v>
      </c>
      <c r="N195" s="32" t="s">
        <v>1234</v>
      </c>
      <c r="O195">
        <v>110.59</v>
      </c>
      <c r="P195">
        <v>115.59</v>
      </c>
      <c r="Q195">
        <v>115.59</v>
      </c>
      <c r="R195" s="32">
        <v>20</v>
      </c>
      <c r="S195" s="32" t="s">
        <v>94</v>
      </c>
      <c r="T195" s="32" t="s">
        <v>1235</v>
      </c>
      <c r="U195" t="s">
        <v>1236</v>
      </c>
      <c r="V195" t="s">
        <v>1237</v>
      </c>
      <c r="W195">
        <v>54680</v>
      </c>
      <c r="X195" t="s">
        <v>322</v>
      </c>
      <c r="Y195" t="s">
        <v>88</v>
      </c>
      <c r="Z195" t="s">
        <v>89</v>
      </c>
      <c r="AB195" t="s">
        <v>1238</v>
      </c>
      <c r="AC195" s="23">
        <v>43315</v>
      </c>
    </row>
    <row r="196" spans="1:29" hidden="1" x14ac:dyDescent="0.25">
      <c r="A196">
        <v>554</v>
      </c>
      <c r="B196">
        <v>0</v>
      </c>
      <c r="C196" s="32" t="s">
        <v>1239</v>
      </c>
      <c r="D196" s="32" t="s">
        <v>79</v>
      </c>
      <c r="E196" t="s">
        <v>120</v>
      </c>
      <c r="F196">
        <v>853</v>
      </c>
      <c r="G196" s="33">
        <v>22405</v>
      </c>
      <c r="H196" s="33">
        <v>42935</v>
      </c>
      <c r="I196" s="23">
        <v>43285</v>
      </c>
      <c r="J196" t="s">
        <v>81</v>
      </c>
      <c r="K196" t="s">
        <v>82</v>
      </c>
      <c r="L196" s="32">
        <v>67016703729</v>
      </c>
      <c r="M196" s="32" t="s">
        <v>2420</v>
      </c>
      <c r="N196" s="32" t="s">
        <v>1240</v>
      </c>
      <c r="O196">
        <v>110.59</v>
      </c>
      <c r="P196">
        <v>123.08</v>
      </c>
      <c r="Q196">
        <v>115.59</v>
      </c>
      <c r="R196" s="32">
        <v>20</v>
      </c>
      <c r="S196" s="32" t="s">
        <v>94</v>
      </c>
      <c r="T196" s="32" t="s">
        <v>1241</v>
      </c>
      <c r="U196" t="s">
        <v>1242</v>
      </c>
      <c r="V196" t="s">
        <v>1243</v>
      </c>
      <c r="W196">
        <v>88786</v>
      </c>
      <c r="X196" t="s">
        <v>1244</v>
      </c>
      <c r="Y196" t="s">
        <v>1245</v>
      </c>
      <c r="Z196" t="s">
        <v>89</v>
      </c>
      <c r="AA196">
        <v>2811075887</v>
      </c>
      <c r="AB196" t="s">
        <v>1246</v>
      </c>
      <c r="AC196" s="23">
        <v>43369</v>
      </c>
    </row>
    <row r="197" spans="1:29" hidden="1" x14ac:dyDescent="0.25">
      <c r="A197">
        <v>555</v>
      </c>
      <c r="B197">
        <v>0</v>
      </c>
      <c r="C197" s="32" t="s">
        <v>1247</v>
      </c>
      <c r="D197" s="32" t="s">
        <v>11</v>
      </c>
      <c r="E197" t="s">
        <v>92</v>
      </c>
      <c r="F197">
        <v>854</v>
      </c>
      <c r="G197" s="33">
        <v>31852</v>
      </c>
      <c r="H197" s="33">
        <v>42958</v>
      </c>
      <c r="I197" s="23">
        <v>43601</v>
      </c>
      <c r="J197" t="s">
        <v>81</v>
      </c>
      <c r="K197" t="s">
        <v>82</v>
      </c>
      <c r="L197" s="32">
        <v>48058746412</v>
      </c>
      <c r="M197" s="32" t="s">
        <v>2421</v>
      </c>
      <c r="N197" s="32" t="s">
        <v>1248</v>
      </c>
      <c r="O197">
        <v>110.59</v>
      </c>
      <c r="P197">
        <v>115.59</v>
      </c>
      <c r="Q197">
        <v>115.59</v>
      </c>
      <c r="R197" s="32">
        <v>20</v>
      </c>
      <c r="S197" s="32" t="s">
        <v>94</v>
      </c>
      <c r="T197" s="32" t="s">
        <v>1249</v>
      </c>
      <c r="U197" t="s">
        <v>1250</v>
      </c>
      <c r="V197" t="s">
        <v>1251</v>
      </c>
      <c r="W197">
        <v>73080</v>
      </c>
      <c r="X197" t="s">
        <v>1188</v>
      </c>
      <c r="Y197" t="s">
        <v>145</v>
      </c>
      <c r="Z197" t="s">
        <v>89</v>
      </c>
      <c r="AB197" t="s">
        <v>1252</v>
      </c>
      <c r="AC197" s="23">
        <v>43603</v>
      </c>
    </row>
    <row r="198" spans="1:29" hidden="1" x14ac:dyDescent="0.25">
      <c r="A198">
        <v>556</v>
      </c>
      <c r="B198">
        <v>0</v>
      </c>
      <c r="C198" s="32" t="s">
        <v>1253</v>
      </c>
      <c r="D198" s="32" t="s">
        <v>79</v>
      </c>
      <c r="E198" t="s">
        <v>92</v>
      </c>
      <c r="F198">
        <v>855</v>
      </c>
      <c r="G198" s="33">
        <v>24789</v>
      </c>
      <c r="H198" s="33">
        <v>42958</v>
      </c>
      <c r="I198" s="23">
        <v>43603</v>
      </c>
      <c r="J198" t="s">
        <v>81</v>
      </c>
      <c r="K198" t="s">
        <v>82</v>
      </c>
      <c r="L198" s="32">
        <v>96896715362</v>
      </c>
      <c r="M198" s="32" t="s">
        <v>2422</v>
      </c>
      <c r="N198" s="32" t="s">
        <v>1254</v>
      </c>
      <c r="O198">
        <v>110.59</v>
      </c>
      <c r="P198">
        <v>115.59</v>
      </c>
      <c r="Q198">
        <v>115.59</v>
      </c>
      <c r="R198" s="32">
        <v>20</v>
      </c>
      <c r="S198" s="32" t="s">
        <v>94</v>
      </c>
      <c r="T198" s="32">
        <v>43281958</v>
      </c>
      <c r="U198" t="s">
        <v>1255</v>
      </c>
      <c r="V198" t="s">
        <v>1256</v>
      </c>
      <c r="W198">
        <v>56530</v>
      </c>
      <c r="X198" t="s">
        <v>428</v>
      </c>
      <c r="Y198" t="s">
        <v>88</v>
      </c>
      <c r="Z198" t="s">
        <v>89</v>
      </c>
      <c r="AB198" t="s">
        <v>1257</v>
      </c>
      <c r="AC198" s="23">
        <v>43042</v>
      </c>
    </row>
    <row r="199" spans="1:29" hidden="1" x14ac:dyDescent="0.25">
      <c r="A199">
        <v>557</v>
      </c>
      <c r="B199">
        <v>0</v>
      </c>
      <c r="C199" s="32" t="s">
        <v>1258</v>
      </c>
      <c r="D199" s="32" t="s">
        <v>79</v>
      </c>
      <c r="E199" t="s">
        <v>92</v>
      </c>
      <c r="F199">
        <v>856</v>
      </c>
      <c r="G199" s="33">
        <v>26174</v>
      </c>
      <c r="H199" s="33">
        <v>42965</v>
      </c>
      <c r="I199" s="23">
        <v>43520</v>
      </c>
      <c r="J199" t="s">
        <v>81</v>
      </c>
      <c r="K199" t="s">
        <v>82</v>
      </c>
      <c r="L199" s="32">
        <v>65887140278</v>
      </c>
      <c r="M199" s="32" t="s">
        <v>2423</v>
      </c>
      <c r="N199" s="32" t="s">
        <v>1259</v>
      </c>
      <c r="O199">
        <v>110.59</v>
      </c>
      <c r="P199">
        <v>115.59</v>
      </c>
      <c r="Q199">
        <v>115.59</v>
      </c>
      <c r="R199" s="32">
        <v>20</v>
      </c>
      <c r="S199" s="32" t="s">
        <v>94</v>
      </c>
      <c r="T199" s="32" t="s">
        <v>1260</v>
      </c>
      <c r="U199" t="s">
        <v>1261</v>
      </c>
      <c r="V199" t="s">
        <v>1262</v>
      </c>
      <c r="W199">
        <v>92810</v>
      </c>
      <c r="X199" t="s">
        <v>1230</v>
      </c>
      <c r="Y199" t="s">
        <v>98</v>
      </c>
      <c r="Z199" t="s">
        <v>89</v>
      </c>
      <c r="AB199" t="s">
        <v>1263</v>
      </c>
      <c r="AC199" s="23">
        <v>43069</v>
      </c>
    </row>
    <row r="200" spans="1:29" hidden="1" x14ac:dyDescent="0.25">
      <c r="A200">
        <v>558</v>
      </c>
      <c r="B200">
        <v>0</v>
      </c>
      <c r="C200" s="32" t="s">
        <v>1264</v>
      </c>
      <c r="D200" s="32" t="s">
        <v>79</v>
      </c>
      <c r="E200" t="s">
        <v>120</v>
      </c>
      <c r="F200">
        <v>857</v>
      </c>
      <c r="G200" s="33">
        <v>29612</v>
      </c>
      <c r="H200" s="33">
        <v>42965</v>
      </c>
      <c r="I200" s="23">
        <v>43231</v>
      </c>
      <c r="J200" t="s">
        <v>81</v>
      </c>
      <c r="K200" t="s">
        <v>82</v>
      </c>
      <c r="L200" s="32">
        <v>94018121924</v>
      </c>
      <c r="M200" s="32" t="s">
        <v>2424</v>
      </c>
      <c r="N200" s="32" t="s">
        <v>1265</v>
      </c>
      <c r="O200">
        <v>110.59</v>
      </c>
      <c r="P200">
        <v>115.59</v>
      </c>
      <c r="Q200">
        <v>115.59</v>
      </c>
      <c r="R200" s="32">
        <v>20</v>
      </c>
      <c r="S200" s="32" t="s">
        <v>204</v>
      </c>
      <c r="T200" s="32" t="s">
        <v>1266</v>
      </c>
      <c r="U200" t="s">
        <v>1267</v>
      </c>
      <c r="V200" t="s">
        <v>1268</v>
      </c>
      <c r="W200">
        <v>55067</v>
      </c>
      <c r="X200" t="s">
        <v>240</v>
      </c>
      <c r="Y200" t="s">
        <v>88</v>
      </c>
      <c r="Z200" t="s">
        <v>89</v>
      </c>
      <c r="AB200" t="s">
        <v>1269</v>
      </c>
      <c r="AC200" s="23">
        <v>43231</v>
      </c>
    </row>
    <row r="201" spans="1:29" hidden="1" x14ac:dyDescent="0.25">
      <c r="A201">
        <v>559</v>
      </c>
      <c r="B201">
        <v>0</v>
      </c>
      <c r="C201" s="32" t="s">
        <v>1270</v>
      </c>
      <c r="D201" s="32" t="s">
        <v>79</v>
      </c>
      <c r="E201" t="s">
        <v>80</v>
      </c>
      <c r="F201">
        <v>859</v>
      </c>
      <c r="G201" s="33">
        <v>27830</v>
      </c>
      <c r="H201" s="33">
        <v>42972</v>
      </c>
      <c r="I201" s="23">
        <v>43238</v>
      </c>
      <c r="J201" t="s">
        <v>81</v>
      </c>
      <c r="K201" t="s">
        <v>82</v>
      </c>
      <c r="L201" s="32">
        <v>67997612006</v>
      </c>
      <c r="M201" s="32" t="s">
        <v>1271</v>
      </c>
      <c r="N201" s="32" t="s">
        <v>1272</v>
      </c>
      <c r="O201">
        <v>110.59</v>
      </c>
      <c r="P201">
        <v>115.59</v>
      </c>
      <c r="Q201">
        <v>115.59</v>
      </c>
      <c r="R201" s="32">
        <v>20</v>
      </c>
      <c r="S201" s="32" t="s">
        <v>94</v>
      </c>
      <c r="T201" s="32" t="s">
        <v>1273</v>
      </c>
      <c r="U201" t="s">
        <v>1274</v>
      </c>
      <c r="V201" t="s">
        <v>265</v>
      </c>
      <c r="W201">
        <v>95440</v>
      </c>
      <c r="X201" t="s">
        <v>878</v>
      </c>
      <c r="Y201" t="s">
        <v>98</v>
      </c>
      <c r="Z201" t="s">
        <v>89</v>
      </c>
      <c r="AB201" t="s">
        <v>1275</v>
      </c>
      <c r="AC201" s="23">
        <v>43452</v>
      </c>
    </row>
    <row r="202" spans="1:29" hidden="1" x14ac:dyDescent="0.25">
      <c r="A202">
        <v>560</v>
      </c>
      <c r="B202">
        <v>0</v>
      </c>
      <c r="C202" s="32" t="s">
        <v>1276</v>
      </c>
      <c r="D202" s="32" t="s">
        <v>11</v>
      </c>
      <c r="E202" t="s">
        <v>80</v>
      </c>
      <c r="F202">
        <v>471</v>
      </c>
      <c r="G202" s="33">
        <v>31500</v>
      </c>
      <c r="H202" s="33">
        <v>42993</v>
      </c>
      <c r="I202" s="23">
        <v>42993</v>
      </c>
      <c r="J202" t="s">
        <v>81</v>
      </c>
      <c r="K202" t="s">
        <v>82</v>
      </c>
      <c r="L202" s="32">
        <v>15038615785</v>
      </c>
      <c r="M202" s="32" t="s">
        <v>1277</v>
      </c>
      <c r="N202" s="32" t="s">
        <v>1278</v>
      </c>
      <c r="O202">
        <v>110.59</v>
      </c>
      <c r="P202">
        <v>115.59</v>
      </c>
      <c r="Q202">
        <v>115.59</v>
      </c>
      <c r="R202" s="32">
        <v>20</v>
      </c>
      <c r="S202" s="32" t="s">
        <v>204</v>
      </c>
      <c r="T202" s="32" t="s">
        <v>1279</v>
      </c>
      <c r="U202" t="s">
        <v>1280</v>
      </c>
      <c r="V202" t="s">
        <v>298</v>
      </c>
      <c r="W202">
        <v>62735</v>
      </c>
      <c r="X202" t="s">
        <v>299</v>
      </c>
      <c r="Y202" t="s">
        <v>230</v>
      </c>
      <c r="Z202" t="s">
        <v>89</v>
      </c>
      <c r="AB202" t="s">
        <v>1281</v>
      </c>
      <c r="AC202" s="23">
        <v>43196</v>
      </c>
    </row>
    <row r="203" spans="1:29" hidden="1" x14ac:dyDescent="0.25">
      <c r="A203">
        <v>561</v>
      </c>
      <c r="B203">
        <v>0</v>
      </c>
      <c r="C203" s="32" t="s">
        <v>1282</v>
      </c>
      <c r="D203" s="32" t="s">
        <v>79</v>
      </c>
      <c r="E203" t="s">
        <v>120</v>
      </c>
      <c r="F203">
        <v>863</v>
      </c>
      <c r="G203" s="33">
        <v>31050</v>
      </c>
      <c r="H203" s="33">
        <v>42993</v>
      </c>
      <c r="I203" s="23">
        <v>43709</v>
      </c>
      <c r="J203" t="s">
        <v>81</v>
      </c>
      <c r="K203" t="s">
        <v>82</v>
      </c>
      <c r="L203" s="32">
        <v>4008518716</v>
      </c>
      <c r="M203" s="32" t="s">
        <v>1283</v>
      </c>
      <c r="N203" s="32" t="s">
        <v>1284</v>
      </c>
      <c r="O203">
        <v>110.59</v>
      </c>
      <c r="P203">
        <v>115.59</v>
      </c>
      <c r="Q203">
        <v>115.59</v>
      </c>
      <c r="R203" s="32">
        <v>20</v>
      </c>
      <c r="S203" s="32" t="s">
        <v>204</v>
      </c>
      <c r="T203" s="32" t="s">
        <v>1285</v>
      </c>
      <c r="U203" t="s">
        <v>1286</v>
      </c>
      <c r="V203" t="s">
        <v>1287</v>
      </c>
      <c r="W203">
        <v>47120</v>
      </c>
      <c r="X203" t="s">
        <v>1288</v>
      </c>
      <c r="Y203" t="s">
        <v>112</v>
      </c>
      <c r="Z203" t="s">
        <v>89</v>
      </c>
      <c r="AB203" t="s">
        <v>1289</v>
      </c>
      <c r="AC203" s="23">
        <v>43231</v>
      </c>
    </row>
    <row r="204" spans="1:29" hidden="1" x14ac:dyDescent="0.25">
      <c r="A204">
        <v>562</v>
      </c>
      <c r="B204">
        <v>0</v>
      </c>
      <c r="C204" s="32" t="s">
        <v>1290</v>
      </c>
      <c r="D204" s="32" t="s">
        <v>79</v>
      </c>
      <c r="E204" t="s">
        <v>80</v>
      </c>
      <c r="F204">
        <v>337</v>
      </c>
      <c r="G204" s="33">
        <v>18701</v>
      </c>
      <c r="H204" s="33">
        <v>39708</v>
      </c>
      <c r="I204" s="23">
        <v>42901</v>
      </c>
      <c r="J204" t="s">
        <v>81</v>
      </c>
      <c r="K204" t="s">
        <v>82</v>
      </c>
      <c r="L204" s="32">
        <v>6745101805</v>
      </c>
      <c r="M204" s="32" t="s">
        <v>1291</v>
      </c>
      <c r="N204" s="32" t="s">
        <v>1292</v>
      </c>
      <c r="O204">
        <v>110.59</v>
      </c>
      <c r="P204">
        <v>116.19</v>
      </c>
      <c r="Q204">
        <v>115.59</v>
      </c>
      <c r="R204" s="32">
        <v>20</v>
      </c>
      <c r="S204" s="32" t="s">
        <v>94</v>
      </c>
      <c r="T204" s="32"/>
      <c r="U204" t="s">
        <v>1293</v>
      </c>
      <c r="V204" t="s">
        <v>1294</v>
      </c>
      <c r="W204">
        <v>11280</v>
      </c>
      <c r="X204" t="s">
        <v>1295</v>
      </c>
      <c r="Y204" t="s">
        <v>223</v>
      </c>
      <c r="Z204" t="s">
        <v>89</v>
      </c>
      <c r="AB204" t="s">
        <v>1296</v>
      </c>
      <c r="AC204" s="23">
        <v>43007</v>
      </c>
    </row>
    <row r="205" spans="1:29" hidden="1" x14ac:dyDescent="0.25">
      <c r="A205">
        <v>563</v>
      </c>
      <c r="B205">
        <v>0</v>
      </c>
      <c r="C205" s="32" t="s">
        <v>1297</v>
      </c>
      <c r="D205" s="32" t="s">
        <v>11</v>
      </c>
      <c r="E205" t="s">
        <v>80</v>
      </c>
      <c r="F205">
        <v>864</v>
      </c>
      <c r="G205" s="33">
        <v>24513</v>
      </c>
      <c r="H205" s="33">
        <v>43014</v>
      </c>
      <c r="I205" s="23">
        <v>43014</v>
      </c>
      <c r="J205" t="s">
        <v>81</v>
      </c>
      <c r="K205" t="s">
        <v>82</v>
      </c>
      <c r="L205" s="32">
        <v>54836728557</v>
      </c>
      <c r="M205" s="32" t="s">
        <v>1298</v>
      </c>
      <c r="N205" s="32" t="s">
        <v>1299</v>
      </c>
      <c r="O205">
        <v>110.59</v>
      </c>
      <c r="P205">
        <v>115.59</v>
      </c>
      <c r="Q205">
        <v>115.59</v>
      </c>
      <c r="R205" s="32">
        <v>20</v>
      </c>
      <c r="S205" s="32" t="s">
        <v>649</v>
      </c>
      <c r="T205" s="32" t="s">
        <v>1300</v>
      </c>
      <c r="U205" t="s">
        <v>1301</v>
      </c>
      <c r="V205" t="s">
        <v>1302</v>
      </c>
      <c r="W205">
        <v>44930</v>
      </c>
      <c r="X205" t="s">
        <v>500</v>
      </c>
      <c r="Y205" t="s">
        <v>112</v>
      </c>
      <c r="Z205" t="s">
        <v>89</v>
      </c>
      <c r="AA205">
        <v>1416464564</v>
      </c>
      <c r="AB205" t="s">
        <v>1303</v>
      </c>
      <c r="AC205" s="23">
        <v>43196</v>
      </c>
    </row>
    <row r="206" spans="1:29" hidden="1" x14ac:dyDescent="0.25">
      <c r="A206">
        <v>564</v>
      </c>
      <c r="B206">
        <v>0</v>
      </c>
      <c r="C206" s="32" t="s">
        <v>1304</v>
      </c>
      <c r="D206" s="32" t="s">
        <v>79</v>
      </c>
      <c r="E206" t="s">
        <v>120</v>
      </c>
      <c r="F206">
        <v>865</v>
      </c>
      <c r="G206" s="33">
        <v>29354</v>
      </c>
      <c r="H206" s="33">
        <v>43015</v>
      </c>
      <c r="I206" s="23">
        <v>43018</v>
      </c>
      <c r="J206" t="s">
        <v>81</v>
      </c>
      <c r="K206" t="s">
        <v>82</v>
      </c>
      <c r="L206" s="32">
        <v>72058007989</v>
      </c>
      <c r="M206" s="32" t="s">
        <v>1305</v>
      </c>
      <c r="N206" s="32" t="s">
        <v>1306</v>
      </c>
      <c r="O206">
        <v>110.59</v>
      </c>
      <c r="P206">
        <v>115.59</v>
      </c>
      <c r="Q206">
        <v>115.59</v>
      </c>
      <c r="R206" s="32">
        <v>20</v>
      </c>
      <c r="S206" s="32" t="s">
        <v>94</v>
      </c>
      <c r="T206" s="32" t="s">
        <v>1307</v>
      </c>
      <c r="U206" t="s">
        <v>1308</v>
      </c>
      <c r="V206" t="s">
        <v>315</v>
      </c>
      <c r="W206">
        <v>39125</v>
      </c>
      <c r="X206" t="s">
        <v>316</v>
      </c>
      <c r="Y206" t="s">
        <v>193</v>
      </c>
      <c r="Z206" t="s">
        <v>89</v>
      </c>
      <c r="AB206" t="s">
        <v>1309</v>
      </c>
      <c r="AC206" s="23">
        <v>43369</v>
      </c>
    </row>
    <row r="207" spans="1:29" hidden="1" x14ac:dyDescent="0.25">
      <c r="A207">
        <v>565</v>
      </c>
      <c r="B207">
        <v>0</v>
      </c>
      <c r="C207" s="32" t="s">
        <v>1310</v>
      </c>
      <c r="D207" s="32" t="s">
        <v>11</v>
      </c>
      <c r="E207" t="s">
        <v>92</v>
      </c>
      <c r="F207">
        <v>868</v>
      </c>
      <c r="G207" s="33">
        <v>30394</v>
      </c>
      <c r="H207" s="33">
        <v>43024</v>
      </c>
      <c r="I207" s="23">
        <v>43679</v>
      </c>
      <c r="J207" t="s">
        <v>81</v>
      </c>
      <c r="K207" t="s">
        <v>82</v>
      </c>
      <c r="L207" s="32">
        <v>72018331222</v>
      </c>
      <c r="M207" s="32" t="s">
        <v>1311</v>
      </c>
      <c r="N207" s="32" t="s">
        <v>1312</v>
      </c>
      <c r="O207">
        <v>110.59</v>
      </c>
      <c r="P207">
        <v>115.59</v>
      </c>
      <c r="Q207">
        <v>115.59</v>
      </c>
      <c r="R207" s="32">
        <v>20</v>
      </c>
      <c r="S207" s="32" t="s">
        <v>94</v>
      </c>
      <c r="T207" s="32" t="s">
        <v>1313</v>
      </c>
      <c r="U207" t="s">
        <v>1314</v>
      </c>
      <c r="V207" t="s">
        <v>1315</v>
      </c>
      <c r="W207">
        <v>62640</v>
      </c>
      <c r="X207" t="s">
        <v>1316</v>
      </c>
      <c r="Y207" t="s">
        <v>230</v>
      </c>
      <c r="Z207" t="s">
        <v>89</v>
      </c>
      <c r="AB207" t="s">
        <v>1317</v>
      </c>
      <c r="AC207" s="23">
        <v>43031</v>
      </c>
    </row>
    <row r="208" spans="1:29" hidden="1" x14ac:dyDescent="0.25">
      <c r="A208">
        <v>566</v>
      </c>
      <c r="B208">
        <v>0</v>
      </c>
      <c r="C208" s="32" t="s">
        <v>1318</v>
      </c>
      <c r="D208" s="32" t="s">
        <v>11</v>
      </c>
      <c r="E208" t="s">
        <v>92</v>
      </c>
      <c r="F208">
        <v>869</v>
      </c>
      <c r="G208" s="33">
        <v>26590</v>
      </c>
      <c r="H208" s="33">
        <v>43024</v>
      </c>
      <c r="I208" s="23">
        <v>43052</v>
      </c>
      <c r="J208" t="s">
        <v>81</v>
      </c>
      <c r="K208" t="s">
        <v>82</v>
      </c>
      <c r="L208" s="32">
        <v>96907227019</v>
      </c>
      <c r="M208" s="32" t="s">
        <v>1319</v>
      </c>
      <c r="N208" s="32" t="s">
        <v>1320</v>
      </c>
      <c r="O208">
        <v>110.59</v>
      </c>
      <c r="P208">
        <v>115.59</v>
      </c>
      <c r="Q208">
        <v>115.59</v>
      </c>
      <c r="R208" s="32">
        <v>20</v>
      </c>
      <c r="S208" s="32" t="s">
        <v>94</v>
      </c>
      <c r="T208" s="32">
        <v>457911035263</v>
      </c>
      <c r="U208" t="s">
        <v>1321</v>
      </c>
      <c r="V208" t="s">
        <v>265</v>
      </c>
      <c r="W208">
        <v>43645</v>
      </c>
      <c r="X208" t="s">
        <v>1322</v>
      </c>
      <c r="Y208" t="s">
        <v>133</v>
      </c>
      <c r="Z208" t="s">
        <v>89</v>
      </c>
      <c r="AA208">
        <v>904305303</v>
      </c>
      <c r="AB208" t="s">
        <v>1323</v>
      </c>
      <c r="AC208" s="23">
        <v>43031</v>
      </c>
    </row>
    <row r="209" spans="1:29" hidden="1" x14ac:dyDescent="0.25">
      <c r="A209">
        <v>567</v>
      </c>
      <c r="B209">
        <v>0</v>
      </c>
      <c r="C209" s="32" t="s">
        <v>1324</v>
      </c>
      <c r="D209" s="32" t="s">
        <v>11</v>
      </c>
      <c r="E209" t="s">
        <v>92</v>
      </c>
      <c r="F209">
        <v>870</v>
      </c>
      <c r="G209" s="33">
        <v>25576</v>
      </c>
      <c r="H209" s="33">
        <v>43024</v>
      </c>
      <c r="I209" s="23">
        <v>43448</v>
      </c>
      <c r="J209" t="s">
        <v>81</v>
      </c>
      <c r="K209" t="s">
        <v>82</v>
      </c>
      <c r="L209" s="32">
        <v>94936603938</v>
      </c>
      <c r="M209" s="32" t="s">
        <v>1325</v>
      </c>
      <c r="N209" s="32" t="s">
        <v>1326</v>
      </c>
      <c r="O209">
        <v>110.59</v>
      </c>
      <c r="P209">
        <v>115.59</v>
      </c>
      <c r="Q209">
        <v>115.59</v>
      </c>
      <c r="R209" s="32">
        <v>20</v>
      </c>
      <c r="S209" s="32" t="s">
        <v>94</v>
      </c>
      <c r="T209" s="32" t="s">
        <v>1327</v>
      </c>
      <c r="U209" t="s">
        <v>1328</v>
      </c>
      <c r="V209" t="s">
        <v>1329</v>
      </c>
      <c r="W209">
        <v>42981</v>
      </c>
      <c r="X209" t="s">
        <v>333</v>
      </c>
      <c r="Y209" t="s">
        <v>133</v>
      </c>
      <c r="Z209" t="s">
        <v>89</v>
      </c>
      <c r="AB209" t="s">
        <v>1330</v>
      </c>
      <c r="AC209" s="23">
        <v>43031</v>
      </c>
    </row>
    <row r="210" spans="1:29" hidden="1" x14ac:dyDescent="0.25">
      <c r="A210">
        <v>568</v>
      </c>
      <c r="B210">
        <v>0</v>
      </c>
      <c r="C210" s="32" t="s">
        <v>1331</v>
      </c>
      <c r="D210" s="32" t="s">
        <v>11</v>
      </c>
      <c r="E210" t="s">
        <v>80</v>
      </c>
      <c r="F210">
        <v>872</v>
      </c>
      <c r="G210" s="33">
        <v>25108</v>
      </c>
      <c r="H210" s="33">
        <v>43025</v>
      </c>
      <c r="I210" s="23">
        <v>43025</v>
      </c>
      <c r="J210" t="s">
        <v>81</v>
      </c>
      <c r="K210" t="s">
        <v>82</v>
      </c>
      <c r="L210" s="32">
        <v>13846804725</v>
      </c>
      <c r="M210" s="32" t="s">
        <v>1332</v>
      </c>
      <c r="N210" s="32" t="s">
        <v>1333</v>
      </c>
      <c r="O210">
        <v>110.59</v>
      </c>
      <c r="P210">
        <v>115.59</v>
      </c>
      <c r="Q210">
        <v>115.59</v>
      </c>
      <c r="R210" s="32">
        <v>20</v>
      </c>
      <c r="S210" s="32" t="s">
        <v>94</v>
      </c>
      <c r="T210" s="32" t="s">
        <v>1334</v>
      </c>
      <c r="U210" t="s">
        <v>1335</v>
      </c>
      <c r="V210" t="s">
        <v>1336</v>
      </c>
      <c r="W210">
        <v>42820</v>
      </c>
      <c r="X210" t="s">
        <v>132</v>
      </c>
      <c r="Y210" t="s">
        <v>133</v>
      </c>
      <c r="Z210" t="s">
        <v>89</v>
      </c>
      <c r="AB210" t="s">
        <v>1337</v>
      </c>
      <c r="AC210" s="23">
        <v>43165</v>
      </c>
    </row>
    <row r="211" spans="1:29" hidden="1" x14ac:dyDescent="0.25">
      <c r="A211">
        <v>569</v>
      </c>
      <c r="B211">
        <v>0</v>
      </c>
      <c r="C211" s="32" t="s">
        <v>1338</v>
      </c>
      <c r="D211" s="32" t="s">
        <v>11</v>
      </c>
      <c r="E211" t="s">
        <v>80</v>
      </c>
      <c r="F211">
        <v>279</v>
      </c>
      <c r="G211" s="33">
        <v>24834</v>
      </c>
      <c r="H211" s="33">
        <v>43028</v>
      </c>
      <c r="I211" s="23">
        <v>43028</v>
      </c>
      <c r="J211" t="s">
        <v>81</v>
      </c>
      <c r="K211" t="s">
        <v>82</v>
      </c>
      <c r="L211" s="32">
        <v>54846822481</v>
      </c>
      <c r="M211" s="32" t="s">
        <v>1339</v>
      </c>
      <c r="N211" s="32" t="s">
        <v>1340</v>
      </c>
      <c r="O211">
        <v>110.59</v>
      </c>
      <c r="P211">
        <v>115.59</v>
      </c>
      <c r="Q211">
        <v>115.59</v>
      </c>
      <c r="R211" s="32">
        <v>20</v>
      </c>
      <c r="S211" s="32" t="s">
        <v>94</v>
      </c>
      <c r="T211" s="32" t="s">
        <v>1341</v>
      </c>
      <c r="U211" t="s">
        <v>1342</v>
      </c>
      <c r="V211" t="s">
        <v>1343</v>
      </c>
      <c r="W211">
        <v>45427</v>
      </c>
      <c r="X211" t="s">
        <v>1344</v>
      </c>
      <c r="Y211" t="s">
        <v>112</v>
      </c>
      <c r="Z211" t="s">
        <v>89</v>
      </c>
      <c r="AB211" t="s">
        <v>1345</v>
      </c>
      <c r="AC211" s="23">
        <v>43480</v>
      </c>
    </row>
    <row r="212" spans="1:29" hidden="1" x14ac:dyDescent="0.25">
      <c r="A212">
        <v>570</v>
      </c>
      <c r="B212">
        <v>0</v>
      </c>
      <c r="C212" s="32" t="s">
        <v>1346</v>
      </c>
      <c r="D212" s="32" t="s">
        <v>11</v>
      </c>
      <c r="E212" t="s">
        <v>80</v>
      </c>
      <c r="F212">
        <v>875</v>
      </c>
      <c r="G212" s="33">
        <v>32313</v>
      </c>
      <c r="H212" s="33">
        <v>43031</v>
      </c>
      <c r="I212" s="23">
        <v>43031</v>
      </c>
      <c r="J212" t="s">
        <v>81</v>
      </c>
      <c r="K212" t="s">
        <v>82</v>
      </c>
      <c r="L212" s="32">
        <v>4078812692</v>
      </c>
      <c r="M212" s="32" t="s">
        <v>1347</v>
      </c>
      <c r="N212" s="32" t="s">
        <v>1348</v>
      </c>
      <c r="O212">
        <v>110.59</v>
      </c>
      <c r="P212">
        <v>115.59</v>
      </c>
      <c r="Q212">
        <v>115.59</v>
      </c>
      <c r="R212" s="32">
        <v>20</v>
      </c>
      <c r="S212" s="32" t="s">
        <v>94</v>
      </c>
      <c r="T212" s="32" t="s">
        <v>1349</v>
      </c>
      <c r="U212" t="s">
        <v>1350</v>
      </c>
      <c r="V212" t="s">
        <v>1351</v>
      </c>
      <c r="W212">
        <v>45654</v>
      </c>
      <c r="X212" t="s">
        <v>569</v>
      </c>
      <c r="Y212" t="s">
        <v>112</v>
      </c>
      <c r="Z212" t="s">
        <v>89</v>
      </c>
      <c r="AB212" t="s">
        <v>1352</v>
      </c>
      <c r="AC212" s="23">
        <v>43414</v>
      </c>
    </row>
    <row r="213" spans="1:29" hidden="1" x14ac:dyDescent="0.25">
      <c r="A213">
        <v>571</v>
      </c>
      <c r="B213">
        <v>0</v>
      </c>
      <c r="C213" s="32" t="s">
        <v>1353</v>
      </c>
      <c r="D213" s="32" t="s">
        <v>11</v>
      </c>
      <c r="E213" t="s">
        <v>80</v>
      </c>
      <c r="F213">
        <v>876</v>
      </c>
      <c r="G213" s="33">
        <v>26895</v>
      </c>
      <c r="H213" s="33">
        <v>43035</v>
      </c>
      <c r="I213" s="23">
        <v>43035</v>
      </c>
      <c r="J213" t="s">
        <v>81</v>
      </c>
      <c r="K213" t="s">
        <v>82</v>
      </c>
      <c r="L213" s="32">
        <v>65946903377</v>
      </c>
      <c r="M213" s="32" t="s">
        <v>1354</v>
      </c>
      <c r="N213" s="32" t="s">
        <v>1355</v>
      </c>
      <c r="O213">
        <v>110.59</v>
      </c>
      <c r="P213">
        <v>115.59</v>
      </c>
      <c r="Q213">
        <v>115.59</v>
      </c>
      <c r="R213" s="32">
        <v>20</v>
      </c>
      <c r="S213" s="32" t="s">
        <v>94</v>
      </c>
      <c r="T213" s="32" t="s">
        <v>1356</v>
      </c>
      <c r="U213" t="s">
        <v>1357</v>
      </c>
      <c r="V213" t="s">
        <v>191</v>
      </c>
      <c r="W213">
        <v>91270</v>
      </c>
      <c r="X213" t="s">
        <v>1358</v>
      </c>
      <c r="Y213" t="s">
        <v>98</v>
      </c>
      <c r="Z213" t="s">
        <v>89</v>
      </c>
      <c r="AB213" t="s">
        <v>1359</v>
      </c>
      <c r="AC213" s="23">
        <v>43011</v>
      </c>
    </row>
    <row r="214" spans="1:29" hidden="1" x14ac:dyDescent="0.25">
      <c r="A214">
        <v>572</v>
      </c>
      <c r="B214">
        <v>0</v>
      </c>
      <c r="C214" s="32" t="s">
        <v>1360</v>
      </c>
      <c r="D214" s="32" t="s">
        <v>11</v>
      </c>
      <c r="E214" t="s">
        <v>1361</v>
      </c>
      <c r="F214">
        <v>878</v>
      </c>
      <c r="G214" s="33">
        <v>31468</v>
      </c>
      <c r="H214" s="33">
        <v>43038</v>
      </c>
      <c r="I214" s="23">
        <v>43038</v>
      </c>
      <c r="J214" t="s">
        <v>81</v>
      </c>
      <c r="K214" t="s">
        <v>82</v>
      </c>
      <c r="L214" s="32">
        <v>48048654171</v>
      </c>
      <c r="M214" s="32" t="s">
        <v>2425</v>
      </c>
      <c r="N214" s="32" t="s">
        <v>1362</v>
      </c>
      <c r="O214">
        <v>110.59</v>
      </c>
      <c r="P214">
        <v>115.59</v>
      </c>
      <c r="Q214">
        <v>110.59</v>
      </c>
      <c r="R214" s="32">
        <v>20</v>
      </c>
      <c r="S214" s="32" t="s">
        <v>94</v>
      </c>
      <c r="T214" s="32" t="s">
        <v>1363</v>
      </c>
      <c r="U214" t="s">
        <v>1364</v>
      </c>
      <c r="V214" t="s">
        <v>1365</v>
      </c>
      <c r="W214">
        <v>73160</v>
      </c>
      <c r="X214" t="s">
        <v>925</v>
      </c>
      <c r="Y214" t="s">
        <v>145</v>
      </c>
      <c r="Z214" t="s">
        <v>89</v>
      </c>
      <c r="AA214">
        <v>0</v>
      </c>
      <c r="AB214" t="s">
        <v>1366</v>
      </c>
      <c r="AC214" s="23">
        <v>43226</v>
      </c>
    </row>
    <row r="215" spans="1:29" hidden="1" x14ac:dyDescent="0.25">
      <c r="A215">
        <v>573</v>
      </c>
      <c r="B215">
        <v>0</v>
      </c>
      <c r="C215" s="32" t="s">
        <v>1367</v>
      </c>
      <c r="D215" s="32" t="s">
        <v>79</v>
      </c>
      <c r="E215" t="s">
        <v>92</v>
      </c>
      <c r="F215">
        <v>880</v>
      </c>
      <c r="G215" s="33">
        <v>28921</v>
      </c>
      <c r="H215" s="33">
        <v>43042</v>
      </c>
      <c r="I215" s="23">
        <v>43191</v>
      </c>
      <c r="J215" t="s">
        <v>81</v>
      </c>
      <c r="K215" t="s">
        <v>82</v>
      </c>
      <c r="L215" s="32">
        <v>92987941918</v>
      </c>
      <c r="M215" s="32" t="s">
        <v>1368</v>
      </c>
      <c r="N215" s="32" t="s">
        <v>1369</v>
      </c>
      <c r="O215">
        <v>110.59</v>
      </c>
      <c r="P215">
        <v>115.59</v>
      </c>
      <c r="Q215">
        <v>115.59</v>
      </c>
      <c r="R215" s="32">
        <v>20</v>
      </c>
      <c r="S215" s="32" t="s">
        <v>94</v>
      </c>
      <c r="T215" s="32" t="s">
        <v>1370</v>
      </c>
      <c r="U215" t="s">
        <v>1371</v>
      </c>
      <c r="V215" t="s">
        <v>1372</v>
      </c>
      <c r="W215">
        <v>45653</v>
      </c>
      <c r="X215" t="s">
        <v>1373</v>
      </c>
      <c r="Y215" t="s">
        <v>112</v>
      </c>
      <c r="Z215" t="s">
        <v>89</v>
      </c>
      <c r="AB215" t="s">
        <v>1374</v>
      </c>
      <c r="AC215" s="23">
        <v>43701</v>
      </c>
    </row>
    <row r="216" spans="1:29" hidden="1" x14ac:dyDescent="0.25">
      <c r="A216">
        <v>574</v>
      </c>
      <c r="B216">
        <v>0</v>
      </c>
      <c r="C216" s="32" t="s">
        <v>1375</v>
      </c>
      <c r="D216" s="32" t="s">
        <v>79</v>
      </c>
      <c r="E216" t="s">
        <v>92</v>
      </c>
      <c r="F216">
        <v>881</v>
      </c>
      <c r="G216" s="33">
        <v>25995</v>
      </c>
      <c r="H216" s="33">
        <v>43042</v>
      </c>
      <c r="I216" s="23">
        <v>43069</v>
      </c>
      <c r="J216" t="s">
        <v>81</v>
      </c>
      <c r="K216" t="s">
        <v>82</v>
      </c>
      <c r="L216" s="32">
        <v>16927140315</v>
      </c>
      <c r="M216" s="32" t="s">
        <v>1376</v>
      </c>
      <c r="N216" s="32" t="s">
        <v>1377</v>
      </c>
      <c r="O216">
        <v>110.59</v>
      </c>
      <c r="P216">
        <v>115.59</v>
      </c>
      <c r="Q216">
        <v>115.59</v>
      </c>
      <c r="R216" s="32">
        <v>20</v>
      </c>
      <c r="S216" s="32" t="s">
        <v>204</v>
      </c>
      <c r="T216" s="32" t="s">
        <v>1378</v>
      </c>
      <c r="U216" t="s">
        <v>1379</v>
      </c>
      <c r="V216" t="s">
        <v>1380</v>
      </c>
      <c r="W216">
        <v>51370</v>
      </c>
      <c r="X216" t="s">
        <v>1381</v>
      </c>
      <c r="Y216" t="s">
        <v>88</v>
      </c>
      <c r="Z216" t="s">
        <v>89</v>
      </c>
      <c r="AB216" t="s">
        <v>1382</v>
      </c>
      <c r="AC216" s="23">
        <v>43140</v>
      </c>
    </row>
    <row r="217" spans="1:29" hidden="1" x14ac:dyDescent="0.25">
      <c r="A217">
        <v>575</v>
      </c>
      <c r="B217">
        <v>0</v>
      </c>
      <c r="C217" s="32" t="s">
        <v>1383</v>
      </c>
      <c r="D217" s="32" t="s">
        <v>11</v>
      </c>
      <c r="E217" t="s">
        <v>80</v>
      </c>
      <c r="F217">
        <v>882</v>
      </c>
      <c r="G217" s="33">
        <v>34472</v>
      </c>
      <c r="H217" s="33">
        <v>43042</v>
      </c>
      <c r="I217" s="23">
        <v>43042</v>
      </c>
      <c r="J217" t="s">
        <v>81</v>
      </c>
      <c r="K217" t="s">
        <v>82</v>
      </c>
      <c r="L217" s="32">
        <v>31109404892</v>
      </c>
      <c r="M217" s="32" t="s">
        <v>1384</v>
      </c>
      <c r="N217" s="32" t="s">
        <v>1385</v>
      </c>
      <c r="O217">
        <v>110.59</v>
      </c>
      <c r="P217">
        <v>115.59</v>
      </c>
      <c r="Q217">
        <v>115.59</v>
      </c>
      <c r="R217" s="32">
        <v>17</v>
      </c>
      <c r="S217" s="32" t="s">
        <v>94</v>
      </c>
      <c r="T217" s="32" t="s">
        <v>1386</v>
      </c>
      <c r="U217" t="s">
        <v>1387</v>
      </c>
      <c r="V217" t="s">
        <v>179</v>
      </c>
      <c r="W217">
        <v>22253</v>
      </c>
      <c r="X217" t="s">
        <v>180</v>
      </c>
      <c r="Y217" t="s">
        <v>181</v>
      </c>
      <c r="Z217" t="s">
        <v>89</v>
      </c>
      <c r="AB217" t="s">
        <v>1388</v>
      </c>
      <c r="AC217" s="23">
        <v>43572</v>
      </c>
    </row>
    <row r="218" spans="1:29" hidden="1" x14ac:dyDescent="0.25">
      <c r="A218">
        <v>576</v>
      </c>
      <c r="B218">
        <v>0</v>
      </c>
      <c r="C218" s="32" t="s">
        <v>1389</v>
      </c>
      <c r="D218" s="32" t="s">
        <v>79</v>
      </c>
      <c r="E218" t="s">
        <v>92</v>
      </c>
      <c r="F218">
        <v>884</v>
      </c>
      <c r="G218" s="33">
        <v>27304</v>
      </c>
      <c r="H218" s="33">
        <v>43045</v>
      </c>
      <c r="I218" s="23">
        <v>43471</v>
      </c>
      <c r="J218" t="s">
        <v>81</v>
      </c>
      <c r="K218" t="s">
        <v>82</v>
      </c>
      <c r="L218" s="32">
        <v>2927427167</v>
      </c>
      <c r="M218" s="32" t="s">
        <v>1390</v>
      </c>
      <c r="N218" s="32" t="s">
        <v>1391</v>
      </c>
      <c r="O218">
        <v>110.59</v>
      </c>
      <c r="P218">
        <v>115.59</v>
      </c>
      <c r="Q218">
        <v>115.59</v>
      </c>
      <c r="R218" s="32">
        <v>20</v>
      </c>
      <c r="S218" s="32" t="s">
        <v>94</v>
      </c>
      <c r="T218" s="32" t="s">
        <v>1392</v>
      </c>
      <c r="U218" t="s">
        <v>1393</v>
      </c>
      <c r="V218" t="s">
        <v>1394</v>
      </c>
      <c r="W218">
        <v>75726</v>
      </c>
      <c r="X218" t="s">
        <v>1395</v>
      </c>
      <c r="Y218" t="s">
        <v>145</v>
      </c>
      <c r="Z218" t="s">
        <v>89</v>
      </c>
      <c r="AB218" t="s">
        <v>1396</v>
      </c>
      <c r="AC218" s="23">
        <v>43069</v>
      </c>
    </row>
    <row r="219" spans="1:29" hidden="1" x14ac:dyDescent="0.25">
      <c r="A219">
        <v>577</v>
      </c>
      <c r="B219">
        <v>0</v>
      </c>
      <c r="C219" s="32" t="s">
        <v>1397</v>
      </c>
      <c r="D219" s="32" t="s">
        <v>79</v>
      </c>
      <c r="E219" t="s">
        <v>120</v>
      </c>
      <c r="F219">
        <v>890</v>
      </c>
      <c r="G219" s="33">
        <v>25486</v>
      </c>
      <c r="H219" s="33">
        <v>43070</v>
      </c>
      <c r="I219" s="23">
        <v>43275</v>
      </c>
      <c r="J219" t="s">
        <v>81</v>
      </c>
      <c r="K219" t="s">
        <v>82</v>
      </c>
      <c r="L219" s="32">
        <v>9288692337</v>
      </c>
      <c r="M219" s="32" t="s">
        <v>1398</v>
      </c>
      <c r="N219" s="32" t="s">
        <v>1399</v>
      </c>
      <c r="O219">
        <v>110.59</v>
      </c>
      <c r="P219">
        <v>115.59</v>
      </c>
      <c r="Q219">
        <v>115.59</v>
      </c>
      <c r="R219" s="32">
        <v>20</v>
      </c>
      <c r="S219" s="32" t="s">
        <v>94</v>
      </c>
      <c r="T219" s="32" t="s">
        <v>1400</v>
      </c>
      <c r="U219" t="s">
        <v>1401</v>
      </c>
      <c r="V219" t="s">
        <v>1402</v>
      </c>
      <c r="W219">
        <v>52966</v>
      </c>
      <c r="X219" t="s">
        <v>1403</v>
      </c>
      <c r="Y219" t="s">
        <v>88</v>
      </c>
      <c r="Z219" t="s">
        <v>89</v>
      </c>
      <c r="AB219" t="s">
        <v>1404</v>
      </c>
      <c r="AC219" s="23">
        <v>43369</v>
      </c>
    </row>
    <row r="220" spans="1:29" hidden="1" x14ac:dyDescent="0.25">
      <c r="A220">
        <v>578</v>
      </c>
      <c r="B220">
        <v>0</v>
      </c>
      <c r="C220" s="32" t="s">
        <v>1405</v>
      </c>
      <c r="D220" s="32" t="s">
        <v>79</v>
      </c>
      <c r="E220" t="s">
        <v>120</v>
      </c>
      <c r="F220">
        <v>891</v>
      </c>
      <c r="G220" s="33">
        <v>28585</v>
      </c>
      <c r="H220" s="33">
        <v>43073</v>
      </c>
      <c r="I220" s="23">
        <v>43487</v>
      </c>
      <c r="J220" t="s">
        <v>81</v>
      </c>
      <c r="K220" t="s">
        <v>82</v>
      </c>
      <c r="L220" s="32">
        <v>65047812212</v>
      </c>
      <c r="M220" s="32" t="s">
        <v>1406</v>
      </c>
      <c r="N220" s="32" t="s">
        <v>1407</v>
      </c>
      <c r="O220">
        <v>110.59</v>
      </c>
      <c r="P220">
        <v>115.59</v>
      </c>
      <c r="Q220">
        <v>115.59</v>
      </c>
      <c r="R220" s="32">
        <v>20</v>
      </c>
      <c r="S220" s="32" t="s">
        <v>204</v>
      </c>
      <c r="T220" s="32" t="s">
        <v>1408</v>
      </c>
      <c r="U220" t="s">
        <v>1409</v>
      </c>
      <c r="V220" t="s">
        <v>1410</v>
      </c>
      <c r="W220">
        <v>92840</v>
      </c>
      <c r="X220" t="s">
        <v>1230</v>
      </c>
      <c r="Y220" t="s">
        <v>98</v>
      </c>
      <c r="Z220" t="s">
        <v>89</v>
      </c>
      <c r="AB220" t="s">
        <v>1411</v>
      </c>
      <c r="AC220" s="23">
        <v>43231</v>
      </c>
    </row>
    <row r="221" spans="1:29" hidden="1" x14ac:dyDescent="0.25">
      <c r="A221">
        <v>579</v>
      </c>
      <c r="B221">
        <v>0</v>
      </c>
      <c r="C221" s="32" t="s">
        <v>1412</v>
      </c>
      <c r="D221" s="32" t="s">
        <v>11</v>
      </c>
      <c r="E221" t="s">
        <v>80</v>
      </c>
      <c r="F221">
        <v>892</v>
      </c>
      <c r="G221" s="33">
        <v>31233</v>
      </c>
      <c r="H221" s="33">
        <v>43073</v>
      </c>
      <c r="I221" s="23">
        <v>43073</v>
      </c>
      <c r="J221" t="s">
        <v>81</v>
      </c>
      <c r="K221" t="s">
        <v>82</v>
      </c>
      <c r="L221" s="32">
        <v>48078500625</v>
      </c>
      <c r="M221" s="32" t="s">
        <v>1413</v>
      </c>
      <c r="N221" s="32" t="s">
        <v>1414</v>
      </c>
      <c r="O221">
        <v>110.59</v>
      </c>
      <c r="P221">
        <v>115.59</v>
      </c>
      <c r="Q221">
        <v>115.59</v>
      </c>
      <c r="R221" s="32">
        <v>20</v>
      </c>
      <c r="S221" s="32" t="s">
        <v>94</v>
      </c>
      <c r="T221" s="32" t="s">
        <v>1415</v>
      </c>
      <c r="U221" t="s">
        <v>1416</v>
      </c>
      <c r="V221" t="s">
        <v>1251</v>
      </c>
      <c r="W221">
        <v>73080</v>
      </c>
      <c r="X221" t="s">
        <v>1188</v>
      </c>
      <c r="Y221" t="s">
        <v>145</v>
      </c>
      <c r="Z221" t="s">
        <v>89</v>
      </c>
      <c r="AB221" t="s">
        <v>1417</v>
      </c>
      <c r="AC221" s="23">
        <v>43343</v>
      </c>
    </row>
    <row r="222" spans="1:29" hidden="1" x14ac:dyDescent="0.25">
      <c r="A222">
        <v>580</v>
      </c>
      <c r="B222">
        <v>0</v>
      </c>
      <c r="C222" s="32" t="s">
        <v>1418</v>
      </c>
      <c r="D222" s="32" t="s">
        <v>79</v>
      </c>
      <c r="E222" t="s">
        <v>120</v>
      </c>
      <c r="F222">
        <v>893</v>
      </c>
      <c r="G222" s="33">
        <v>27051</v>
      </c>
      <c r="H222" s="33">
        <v>43074</v>
      </c>
      <c r="I222" s="23">
        <v>43260</v>
      </c>
      <c r="J222" t="s">
        <v>81</v>
      </c>
      <c r="K222" t="s">
        <v>82</v>
      </c>
      <c r="L222" s="32">
        <v>14907433479</v>
      </c>
      <c r="M222" s="32" t="s">
        <v>1419</v>
      </c>
      <c r="N222" s="32" t="s">
        <v>1420</v>
      </c>
      <c r="O222">
        <v>117.6</v>
      </c>
      <c r="P222">
        <v>122.92</v>
      </c>
      <c r="Q222">
        <v>122.92</v>
      </c>
      <c r="R222" s="32">
        <v>20</v>
      </c>
      <c r="S222" s="32" t="s">
        <v>94</v>
      </c>
      <c r="T222" s="32" t="s">
        <v>1421</v>
      </c>
      <c r="U222" t="s">
        <v>1422</v>
      </c>
      <c r="V222" t="s">
        <v>1423</v>
      </c>
      <c r="W222">
        <v>76820</v>
      </c>
      <c r="X222" t="s">
        <v>1424</v>
      </c>
      <c r="Y222" t="s">
        <v>1131</v>
      </c>
      <c r="Z222" t="s">
        <v>89</v>
      </c>
      <c r="AB222" t="s">
        <v>1425</v>
      </c>
      <c r="AC222" s="23">
        <v>43260</v>
      </c>
    </row>
    <row r="223" spans="1:29" hidden="1" x14ac:dyDescent="0.25">
      <c r="A223">
        <v>581</v>
      </c>
      <c r="B223">
        <v>0</v>
      </c>
      <c r="C223" s="32" t="s">
        <v>1426</v>
      </c>
      <c r="D223" s="32" t="s">
        <v>11</v>
      </c>
      <c r="E223" t="s">
        <v>1361</v>
      </c>
      <c r="F223">
        <v>454</v>
      </c>
      <c r="G223" s="33">
        <v>21983</v>
      </c>
      <c r="H223" s="33">
        <v>43076</v>
      </c>
      <c r="I223" s="23">
        <v>43076</v>
      </c>
      <c r="J223" t="s">
        <v>81</v>
      </c>
      <c r="K223" t="s">
        <v>82</v>
      </c>
      <c r="L223" s="32">
        <v>33816004825</v>
      </c>
      <c r="M223" s="32" t="s">
        <v>2426</v>
      </c>
      <c r="N223" s="32" t="s">
        <v>1427</v>
      </c>
      <c r="O223">
        <v>117.6</v>
      </c>
      <c r="P223">
        <v>122.92</v>
      </c>
      <c r="Q223">
        <v>122.92</v>
      </c>
      <c r="R223" s="32">
        <v>19</v>
      </c>
      <c r="S223" s="32" t="s">
        <v>94</v>
      </c>
      <c r="T223" s="32" t="s">
        <v>1428</v>
      </c>
      <c r="U223" t="s">
        <v>1429</v>
      </c>
      <c r="V223" t="s">
        <v>1430</v>
      </c>
      <c r="W223">
        <v>32575</v>
      </c>
      <c r="X223" t="s">
        <v>277</v>
      </c>
      <c r="Y223" t="s">
        <v>118</v>
      </c>
      <c r="Z223" t="s">
        <v>89</v>
      </c>
      <c r="AB223" t="s">
        <v>1431</v>
      </c>
      <c r="AC223" s="23">
        <v>43077</v>
      </c>
    </row>
    <row r="224" spans="1:29" hidden="1" x14ac:dyDescent="0.25">
      <c r="A224">
        <v>582</v>
      </c>
      <c r="B224">
        <v>0</v>
      </c>
      <c r="C224" s="32" t="s">
        <v>1432</v>
      </c>
      <c r="D224" s="32" t="s">
        <v>79</v>
      </c>
      <c r="E224" t="s">
        <v>120</v>
      </c>
      <c r="F224">
        <v>896</v>
      </c>
      <c r="G224" s="33">
        <v>25860</v>
      </c>
      <c r="H224" s="33">
        <v>43087</v>
      </c>
      <c r="I224" s="23">
        <v>43659</v>
      </c>
      <c r="J224" t="s">
        <v>81</v>
      </c>
      <c r="K224" t="s">
        <v>82</v>
      </c>
      <c r="L224" s="32">
        <v>62947064317</v>
      </c>
      <c r="M224" s="32" t="s">
        <v>1433</v>
      </c>
      <c r="N224" s="32" t="s">
        <v>1434</v>
      </c>
      <c r="O224">
        <v>117.6</v>
      </c>
      <c r="P224">
        <v>122.92</v>
      </c>
      <c r="Q224">
        <v>122.92</v>
      </c>
      <c r="R224" s="32">
        <v>20</v>
      </c>
      <c r="S224" s="32" t="s">
        <v>94</v>
      </c>
      <c r="T224" s="32" t="s">
        <v>1435</v>
      </c>
      <c r="U224" t="s">
        <v>1436</v>
      </c>
      <c r="V224" t="s">
        <v>1437</v>
      </c>
      <c r="W224">
        <v>72310</v>
      </c>
      <c r="X224" t="s">
        <v>145</v>
      </c>
      <c r="Y224" t="s">
        <v>145</v>
      </c>
      <c r="Z224" t="s">
        <v>89</v>
      </c>
      <c r="AA224">
        <v>2102042980</v>
      </c>
      <c r="AB224" t="s">
        <v>1438</v>
      </c>
      <c r="AC224" s="23">
        <v>43369</v>
      </c>
    </row>
    <row r="225" spans="1:29" hidden="1" x14ac:dyDescent="0.25">
      <c r="A225">
        <v>583</v>
      </c>
      <c r="B225">
        <v>0</v>
      </c>
      <c r="C225" s="32" t="s">
        <v>1439</v>
      </c>
      <c r="D225" s="32" t="s">
        <v>11</v>
      </c>
      <c r="E225" t="s">
        <v>80</v>
      </c>
      <c r="F225">
        <v>827</v>
      </c>
      <c r="G225" s="33">
        <v>30418</v>
      </c>
      <c r="H225" s="33">
        <v>43095</v>
      </c>
      <c r="I225" s="23">
        <v>42816</v>
      </c>
      <c r="J225" t="s">
        <v>81</v>
      </c>
      <c r="K225" t="s">
        <v>82</v>
      </c>
      <c r="L225" s="32">
        <v>72008323882</v>
      </c>
      <c r="M225" s="32" t="s">
        <v>1440</v>
      </c>
      <c r="N225" s="32" t="s">
        <v>1441</v>
      </c>
      <c r="O225">
        <v>117.6</v>
      </c>
      <c r="P225">
        <v>122.92</v>
      </c>
      <c r="Q225">
        <v>122.92</v>
      </c>
      <c r="R225" s="32">
        <v>20</v>
      </c>
      <c r="S225" s="32" t="s">
        <v>204</v>
      </c>
      <c r="T225" s="32" t="s">
        <v>1442</v>
      </c>
      <c r="U225" t="s">
        <v>1443</v>
      </c>
      <c r="V225" t="s">
        <v>1444</v>
      </c>
      <c r="W225">
        <v>92770</v>
      </c>
      <c r="X225" t="s">
        <v>1230</v>
      </c>
      <c r="Y225" t="s">
        <v>98</v>
      </c>
      <c r="Z225" t="s">
        <v>89</v>
      </c>
      <c r="AC225" s="23">
        <v>43095</v>
      </c>
    </row>
    <row r="226" spans="1:29" hidden="1" x14ac:dyDescent="0.25">
      <c r="A226">
        <v>584</v>
      </c>
      <c r="B226">
        <v>0</v>
      </c>
      <c r="C226" s="32" t="s">
        <v>1445</v>
      </c>
      <c r="D226" s="32" t="s">
        <v>11</v>
      </c>
      <c r="E226" t="s">
        <v>80</v>
      </c>
      <c r="F226">
        <v>898</v>
      </c>
      <c r="G226" s="33">
        <v>26834</v>
      </c>
      <c r="H226" s="33">
        <v>43091</v>
      </c>
      <c r="I226" s="23">
        <v>43091</v>
      </c>
      <c r="J226" t="s">
        <v>81</v>
      </c>
      <c r="K226" t="s">
        <v>82</v>
      </c>
      <c r="L226" s="32">
        <v>24937379527</v>
      </c>
      <c r="M226" s="32" t="s">
        <v>1446</v>
      </c>
      <c r="N226" s="32" t="s">
        <v>1447</v>
      </c>
      <c r="O226">
        <v>117.6</v>
      </c>
      <c r="P226">
        <v>122.92</v>
      </c>
      <c r="Q226">
        <v>122.92</v>
      </c>
      <c r="R226" s="32">
        <v>17</v>
      </c>
      <c r="S226" s="32" t="s">
        <v>94</v>
      </c>
      <c r="T226" s="32" t="s">
        <v>1448</v>
      </c>
      <c r="U226" t="s">
        <v>1449</v>
      </c>
      <c r="V226" t="s">
        <v>185</v>
      </c>
      <c r="W226">
        <v>85258</v>
      </c>
      <c r="X226" t="s">
        <v>827</v>
      </c>
      <c r="Y226" t="s">
        <v>161</v>
      </c>
      <c r="Z226" t="s">
        <v>89</v>
      </c>
      <c r="AB226" t="s">
        <v>1450</v>
      </c>
      <c r="AC226" s="23">
        <v>43097</v>
      </c>
    </row>
    <row r="227" spans="1:29" hidden="1" x14ac:dyDescent="0.25">
      <c r="A227">
        <v>585</v>
      </c>
      <c r="B227">
        <v>0</v>
      </c>
      <c r="C227" s="32" t="s">
        <v>1451</v>
      </c>
      <c r="D227" s="32" t="s">
        <v>11</v>
      </c>
      <c r="E227" t="s">
        <v>80</v>
      </c>
      <c r="F227">
        <v>899</v>
      </c>
      <c r="G227" s="33">
        <v>23967</v>
      </c>
      <c r="H227" s="33">
        <v>43096</v>
      </c>
      <c r="I227" s="23">
        <v>43096</v>
      </c>
      <c r="J227" t="s">
        <v>81</v>
      </c>
      <c r="K227" t="s">
        <v>82</v>
      </c>
      <c r="L227" s="32">
        <v>30816361353</v>
      </c>
      <c r="M227" s="32" t="s">
        <v>1452</v>
      </c>
      <c r="N227" s="32" t="s">
        <v>1453</v>
      </c>
      <c r="O227">
        <v>117.6</v>
      </c>
      <c r="P227">
        <v>122.92</v>
      </c>
      <c r="Q227">
        <v>122.92</v>
      </c>
      <c r="R227" s="32">
        <v>20</v>
      </c>
      <c r="S227" s="32" t="s">
        <v>94</v>
      </c>
      <c r="T227" s="32" t="s">
        <v>1454</v>
      </c>
      <c r="U227" t="s">
        <v>1455</v>
      </c>
      <c r="V227" t="s">
        <v>1456</v>
      </c>
      <c r="W227">
        <v>73177</v>
      </c>
      <c r="X227" t="s">
        <v>925</v>
      </c>
      <c r="Y227" t="s">
        <v>145</v>
      </c>
      <c r="Z227" t="s">
        <v>89</v>
      </c>
      <c r="AC227" s="23">
        <v>43097</v>
      </c>
    </row>
    <row r="228" spans="1:29" hidden="1" x14ac:dyDescent="0.25">
      <c r="A228">
        <v>586</v>
      </c>
      <c r="B228">
        <v>0</v>
      </c>
      <c r="C228" s="32" t="s">
        <v>1445</v>
      </c>
      <c r="D228" s="32" t="s">
        <v>11</v>
      </c>
      <c r="E228" t="s">
        <v>1361</v>
      </c>
      <c r="F228">
        <v>898</v>
      </c>
      <c r="G228" s="33">
        <v>26834</v>
      </c>
      <c r="H228" s="33">
        <v>43091</v>
      </c>
      <c r="I228" s="23">
        <v>43091</v>
      </c>
      <c r="J228" t="s">
        <v>81</v>
      </c>
      <c r="K228" t="s">
        <v>82</v>
      </c>
      <c r="L228" s="32">
        <v>24937379527</v>
      </c>
      <c r="M228" s="32" t="s">
        <v>1446</v>
      </c>
      <c r="N228" s="32" t="s">
        <v>1447</v>
      </c>
      <c r="O228">
        <v>117.6</v>
      </c>
      <c r="P228">
        <v>122.92</v>
      </c>
      <c r="Q228">
        <v>122.92</v>
      </c>
      <c r="R228" s="32">
        <v>7</v>
      </c>
      <c r="S228" s="32" t="s">
        <v>94</v>
      </c>
      <c r="T228" s="32" t="s">
        <v>1448</v>
      </c>
      <c r="U228" t="s">
        <v>1449</v>
      </c>
      <c r="V228" t="s">
        <v>185</v>
      </c>
      <c r="W228">
        <v>85258</v>
      </c>
      <c r="X228" t="s">
        <v>827</v>
      </c>
      <c r="Y228" t="s">
        <v>161</v>
      </c>
      <c r="Z228" t="s">
        <v>89</v>
      </c>
      <c r="AB228" t="s">
        <v>1457</v>
      </c>
      <c r="AC228" s="23">
        <v>43097</v>
      </c>
    </row>
    <row r="229" spans="1:29" hidden="1" x14ac:dyDescent="0.25">
      <c r="A229">
        <v>587</v>
      </c>
      <c r="B229">
        <v>0</v>
      </c>
      <c r="C229" s="32" t="s">
        <v>1458</v>
      </c>
      <c r="D229" s="32" t="s">
        <v>11</v>
      </c>
      <c r="E229" t="s">
        <v>80</v>
      </c>
      <c r="F229">
        <v>900</v>
      </c>
      <c r="G229" s="33">
        <v>32068</v>
      </c>
      <c r="H229" s="33">
        <v>43098</v>
      </c>
      <c r="I229" s="23">
        <v>43098</v>
      </c>
      <c r="J229" t="s">
        <v>81</v>
      </c>
      <c r="K229" t="s">
        <v>82</v>
      </c>
      <c r="L229" s="32">
        <v>75058765639</v>
      </c>
      <c r="M229" s="32" t="s">
        <v>1459</v>
      </c>
      <c r="N229" s="32" t="s">
        <v>1460</v>
      </c>
      <c r="O229">
        <v>117.6</v>
      </c>
      <c r="P229">
        <v>122.92</v>
      </c>
      <c r="Q229">
        <v>122.92</v>
      </c>
      <c r="R229" s="32">
        <v>20</v>
      </c>
      <c r="S229" s="32" t="s">
        <v>94</v>
      </c>
      <c r="T229" s="32" t="s">
        <v>1461</v>
      </c>
      <c r="U229" t="s">
        <v>1462</v>
      </c>
      <c r="V229" t="s">
        <v>1463</v>
      </c>
      <c r="W229">
        <v>45653</v>
      </c>
      <c r="X229" t="s">
        <v>1464</v>
      </c>
      <c r="Y229" t="s">
        <v>112</v>
      </c>
      <c r="Z229" t="s">
        <v>89</v>
      </c>
      <c r="AB229" t="s">
        <v>1465</v>
      </c>
      <c r="AC229" s="23">
        <v>43756</v>
      </c>
    </row>
    <row r="230" spans="1:29" hidden="1" x14ac:dyDescent="0.25">
      <c r="A230">
        <v>588</v>
      </c>
      <c r="B230">
        <v>0</v>
      </c>
      <c r="C230" s="32" t="s">
        <v>1466</v>
      </c>
      <c r="D230" s="32" t="s">
        <v>11</v>
      </c>
      <c r="E230" t="s">
        <v>80</v>
      </c>
      <c r="F230">
        <v>901</v>
      </c>
      <c r="G230" s="33">
        <v>29959</v>
      </c>
      <c r="H230" s="33">
        <v>43102</v>
      </c>
      <c r="I230" s="23">
        <v>43102</v>
      </c>
      <c r="J230" t="s">
        <v>81</v>
      </c>
      <c r="K230" t="s">
        <v>82</v>
      </c>
      <c r="L230" s="32">
        <v>94048200649</v>
      </c>
      <c r="M230" s="32" t="s">
        <v>1467</v>
      </c>
      <c r="N230" s="32" t="s">
        <v>1468</v>
      </c>
      <c r="O230">
        <v>117.6</v>
      </c>
      <c r="P230">
        <v>122.92</v>
      </c>
      <c r="Q230">
        <v>122.92</v>
      </c>
      <c r="R230" s="32">
        <v>20</v>
      </c>
      <c r="S230" s="32" t="s">
        <v>94</v>
      </c>
      <c r="T230" s="32">
        <v>445577999823</v>
      </c>
      <c r="U230" t="s">
        <v>1469</v>
      </c>
      <c r="V230" t="s">
        <v>1470</v>
      </c>
      <c r="W230">
        <v>55710</v>
      </c>
      <c r="X230" t="s">
        <v>367</v>
      </c>
      <c r="Y230" t="s">
        <v>88</v>
      </c>
      <c r="Z230" t="s">
        <v>89</v>
      </c>
      <c r="AB230" t="s">
        <v>1471</v>
      </c>
      <c r="AC230" s="23">
        <v>43484</v>
      </c>
    </row>
    <row r="231" spans="1:29" hidden="1" x14ac:dyDescent="0.25">
      <c r="A231">
        <v>589</v>
      </c>
      <c r="B231">
        <v>0</v>
      </c>
      <c r="C231" s="32" t="s">
        <v>1472</v>
      </c>
      <c r="D231" s="32" t="s">
        <v>11</v>
      </c>
      <c r="E231" t="s">
        <v>80</v>
      </c>
      <c r="F231">
        <v>903</v>
      </c>
      <c r="G231" s="33">
        <v>26096</v>
      </c>
      <c r="H231" s="33">
        <v>43108</v>
      </c>
      <c r="I231" s="23">
        <v>43108</v>
      </c>
      <c r="J231" t="s">
        <v>81</v>
      </c>
      <c r="K231" t="s">
        <v>82</v>
      </c>
      <c r="L231" s="32">
        <v>68907102948</v>
      </c>
      <c r="M231" s="32" t="s">
        <v>1473</v>
      </c>
      <c r="N231" s="32" t="s">
        <v>1474</v>
      </c>
      <c r="O231">
        <v>117.6</v>
      </c>
      <c r="P231">
        <v>122.92</v>
      </c>
      <c r="Q231">
        <v>122.92</v>
      </c>
      <c r="R231" s="32">
        <v>20</v>
      </c>
      <c r="S231" s="32" t="s">
        <v>94</v>
      </c>
      <c r="T231" s="32" t="s">
        <v>1475</v>
      </c>
      <c r="U231" t="s">
        <v>1476</v>
      </c>
      <c r="V231" t="s">
        <v>1477</v>
      </c>
      <c r="W231">
        <v>74367</v>
      </c>
      <c r="X231" t="s">
        <v>1478</v>
      </c>
      <c r="Y231" t="s">
        <v>145</v>
      </c>
      <c r="Z231" t="s">
        <v>89</v>
      </c>
      <c r="AB231" t="s">
        <v>1479</v>
      </c>
      <c r="AC231" s="23">
        <v>43769</v>
      </c>
    </row>
    <row r="232" spans="1:29" hidden="1" x14ac:dyDescent="0.25">
      <c r="A232">
        <v>590</v>
      </c>
      <c r="B232">
        <v>0</v>
      </c>
      <c r="C232" s="32" t="s">
        <v>1480</v>
      </c>
      <c r="D232" s="32" t="s">
        <v>79</v>
      </c>
      <c r="E232" t="s">
        <v>120</v>
      </c>
      <c r="F232">
        <v>904</v>
      </c>
      <c r="G232" s="33">
        <v>27563</v>
      </c>
      <c r="H232" s="33">
        <v>43108</v>
      </c>
      <c r="I232" s="23">
        <v>43231</v>
      </c>
      <c r="J232" t="s">
        <v>81</v>
      </c>
      <c r="K232" t="s">
        <v>82</v>
      </c>
      <c r="L232" s="32">
        <v>72927354844</v>
      </c>
      <c r="M232" s="32" t="s">
        <v>1481</v>
      </c>
      <c r="N232" s="32" t="s">
        <v>1482</v>
      </c>
      <c r="O232">
        <v>117.6</v>
      </c>
      <c r="P232">
        <v>122.92</v>
      </c>
      <c r="Q232">
        <v>122.92</v>
      </c>
      <c r="R232" s="32">
        <v>20</v>
      </c>
      <c r="S232" s="32" t="s">
        <v>94</v>
      </c>
      <c r="T232" s="32" t="s">
        <v>1483</v>
      </c>
      <c r="U232" t="s">
        <v>1484</v>
      </c>
      <c r="V232" t="s">
        <v>1485</v>
      </c>
      <c r="W232">
        <v>54601</v>
      </c>
      <c r="X232" t="s">
        <v>1486</v>
      </c>
      <c r="Y232" t="s">
        <v>88</v>
      </c>
      <c r="Z232" t="s">
        <v>89</v>
      </c>
      <c r="AB232" t="s">
        <v>1487</v>
      </c>
      <c r="AC232" s="23">
        <v>43231</v>
      </c>
    </row>
    <row r="233" spans="1:29" hidden="1" x14ac:dyDescent="0.25">
      <c r="A233">
        <v>591</v>
      </c>
      <c r="B233">
        <v>0</v>
      </c>
      <c r="C233" s="32" t="s">
        <v>1488</v>
      </c>
      <c r="D233" s="32" t="s">
        <v>79</v>
      </c>
      <c r="E233" t="s">
        <v>120</v>
      </c>
      <c r="F233">
        <v>906</v>
      </c>
      <c r="G233" s="33">
        <v>27033</v>
      </c>
      <c r="H233" s="33">
        <v>43110</v>
      </c>
      <c r="I233" s="23">
        <v>43501</v>
      </c>
      <c r="J233" t="s">
        <v>81</v>
      </c>
      <c r="K233" t="s">
        <v>82</v>
      </c>
      <c r="L233" s="32">
        <v>67987404208</v>
      </c>
      <c r="M233" s="32" t="s">
        <v>1489</v>
      </c>
      <c r="N233" s="32" t="s">
        <v>1490</v>
      </c>
      <c r="O233">
        <v>117.6</v>
      </c>
      <c r="P233">
        <v>122.92</v>
      </c>
      <c r="Q233">
        <v>122.92</v>
      </c>
      <c r="R233" s="32">
        <v>20</v>
      </c>
      <c r="S233" s="32" t="s">
        <v>94</v>
      </c>
      <c r="T233" s="32" t="s">
        <v>1491</v>
      </c>
      <c r="U233" t="s">
        <v>1492</v>
      </c>
      <c r="V233" t="s">
        <v>265</v>
      </c>
      <c r="W233">
        <v>95440</v>
      </c>
      <c r="X233" t="s">
        <v>1493</v>
      </c>
      <c r="Y233" t="s">
        <v>98</v>
      </c>
      <c r="Z233" t="s">
        <v>89</v>
      </c>
      <c r="AB233" t="s">
        <v>1494</v>
      </c>
      <c r="AC233" s="23">
        <v>43369</v>
      </c>
    </row>
    <row r="234" spans="1:29" hidden="1" x14ac:dyDescent="0.25">
      <c r="A234">
        <v>592</v>
      </c>
      <c r="B234">
        <v>0</v>
      </c>
      <c r="C234" s="32" t="s">
        <v>1495</v>
      </c>
      <c r="D234" s="32" t="s">
        <v>79</v>
      </c>
      <c r="E234" t="s">
        <v>120</v>
      </c>
      <c r="F234">
        <v>907</v>
      </c>
      <c r="G234" s="33">
        <v>27157</v>
      </c>
      <c r="H234" s="33">
        <v>43112</v>
      </c>
      <c r="I234" s="23">
        <v>43369</v>
      </c>
      <c r="J234" t="s">
        <v>81</v>
      </c>
      <c r="K234" t="s">
        <v>82</v>
      </c>
      <c r="L234" s="32">
        <v>51897411099</v>
      </c>
      <c r="M234" s="32" t="s">
        <v>1496</v>
      </c>
      <c r="N234" s="32" t="s">
        <v>1497</v>
      </c>
      <c r="O234">
        <v>117.6</v>
      </c>
      <c r="P234">
        <v>122.92</v>
      </c>
      <c r="Q234">
        <v>122.92</v>
      </c>
      <c r="R234" s="32">
        <v>20</v>
      </c>
      <c r="S234" s="32" t="s">
        <v>204</v>
      </c>
      <c r="T234" s="32" t="s">
        <v>1498</v>
      </c>
      <c r="U234" t="s">
        <v>1499</v>
      </c>
      <c r="V234" t="s">
        <v>1500</v>
      </c>
      <c r="W234">
        <v>20205</v>
      </c>
      <c r="X234" t="s">
        <v>606</v>
      </c>
      <c r="Y234" t="s">
        <v>606</v>
      </c>
      <c r="Z234" t="s">
        <v>89</v>
      </c>
      <c r="AB234" t="s">
        <v>1501</v>
      </c>
      <c r="AC234" s="23">
        <v>43369</v>
      </c>
    </row>
    <row r="235" spans="1:29" hidden="1" x14ac:dyDescent="0.25">
      <c r="A235">
        <v>593</v>
      </c>
      <c r="B235">
        <v>0</v>
      </c>
      <c r="C235" s="32" t="s">
        <v>1502</v>
      </c>
      <c r="D235" s="32" t="s">
        <v>79</v>
      </c>
      <c r="E235" t="s">
        <v>80</v>
      </c>
      <c r="F235">
        <v>909</v>
      </c>
      <c r="G235" s="33">
        <v>28647</v>
      </c>
      <c r="H235" s="33">
        <v>43122</v>
      </c>
      <c r="I235" s="23">
        <v>43813</v>
      </c>
      <c r="J235" t="s">
        <v>81</v>
      </c>
      <c r="K235" t="s">
        <v>82</v>
      </c>
      <c r="L235" s="32">
        <v>67127803244</v>
      </c>
      <c r="M235" s="32" t="s">
        <v>1503</v>
      </c>
      <c r="N235" s="32" t="s">
        <v>1504</v>
      </c>
      <c r="O235">
        <v>117.6</v>
      </c>
      <c r="P235">
        <v>122.92</v>
      </c>
      <c r="Q235">
        <v>122.92</v>
      </c>
      <c r="R235" s="32">
        <v>20</v>
      </c>
      <c r="S235" s="32" t="s">
        <v>94</v>
      </c>
      <c r="T235" s="32" t="s">
        <v>1505</v>
      </c>
      <c r="U235" t="s">
        <v>1506</v>
      </c>
      <c r="V235" t="s">
        <v>1507</v>
      </c>
      <c r="W235">
        <v>75857</v>
      </c>
      <c r="X235" t="s">
        <v>1395</v>
      </c>
      <c r="Y235" t="s">
        <v>145</v>
      </c>
      <c r="Z235" t="s">
        <v>89</v>
      </c>
      <c r="AB235" t="s">
        <v>1508</v>
      </c>
      <c r="AC235" s="23">
        <v>43452</v>
      </c>
    </row>
    <row r="236" spans="1:29" hidden="1" x14ac:dyDescent="0.25">
      <c r="A236">
        <v>594</v>
      </c>
      <c r="B236">
        <v>0</v>
      </c>
      <c r="C236" s="32" t="s">
        <v>1509</v>
      </c>
      <c r="D236" s="32" t="s">
        <v>11</v>
      </c>
      <c r="E236" t="s">
        <v>80</v>
      </c>
      <c r="F236">
        <v>911</v>
      </c>
      <c r="G236" s="33">
        <v>29484</v>
      </c>
      <c r="H236" s="33">
        <v>43124</v>
      </c>
      <c r="I236" s="23">
        <v>43124</v>
      </c>
      <c r="J236" t="s">
        <v>81</v>
      </c>
      <c r="K236" t="s">
        <v>82</v>
      </c>
      <c r="L236" s="32">
        <v>67008027392</v>
      </c>
      <c r="M236" s="32" t="s">
        <v>1510</v>
      </c>
      <c r="N236" s="32" t="s">
        <v>1511</v>
      </c>
      <c r="O236">
        <v>117.6</v>
      </c>
      <c r="P236">
        <v>122.92</v>
      </c>
      <c r="Q236">
        <v>122.92</v>
      </c>
      <c r="R236" s="32">
        <v>20</v>
      </c>
      <c r="S236" s="32" t="s">
        <v>94</v>
      </c>
      <c r="T236" s="32" t="s">
        <v>1512</v>
      </c>
      <c r="U236" t="s">
        <v>1513</v>
      </c>
      <c r="V236" t="s">
        <v>1514</v>
      </c>
      <c r="W236">
        <v>43629</v>
      </c>
      <c r="X236" t="s">
        <v>1515</v>
      </c>
      <c r="Y236" t="s">
        <v>133</v>
      </c>
      <c r="Z236" t="s">
        <v>89</v>
      </c>
      <c r="AB236" t="s">
        <v>1516</v>
      </c>
      <c r="AC236" s="23">
        <v>43701</v>
      </c>
    </row>
    <row r="237" spans="1:29" hidden="1" x14ac:dyDescent="0.25">
      <c r="A237">
        <v>595</v>
      </c>
      <c r="B237">
        <v>0</v>
      </c>
      <c r="C237" s="32" t="s">
        <v>1517</v>
      </c>
      <c r="D237" s="32" t="s">
        <v>79</v>
      </c>
      <c r="E237" t="s">
        <v>120</v>
      </c>
      <c r="F237">
        <v>912</v>
      </c>
      <c r="G237" s="33">
        <v>27461</v>
      </c>
      <c r="H237" s="33">
        <v>43126</v>
      </c>
      <c r="I237" s="23">
        <v>43431</v>
      </c>
      <c r="J237" t="s">
        <v>81</v>
      </c>
      <c r="K237" t="s">
        <v>82</v>
      </c>
      <c r="L237" s="32">
        <v>92007507566</v>
      </c>
      <c r="M237" s="32" t="s">
        <v>1518</v>
      </c>
      <c r="N237" s="32" t="s">
        <v>1519</v>
      </c>
      <c r="O237">
        <v>117.6</v>
      </c>
      <c r="P237">
        <v>122.92</v>
      </c>
      <c r="Q237">
        <v>122.92</v>
      </c>
      <c r="R237" s="32">
        <v>20</v>
      </c>
      <c r="S237" s="32" t="s">
        <v>94</v>
      </c>
      <c r="T237" s="32" t="s">
        <v>1520</v>
      </c>
      <c r="U237" t="s">
        <v>1521</v>
      </c>
      <c r="V237" t="s">
        <v>1522</v>
      </c>
      <c r="W237">
        <v>55630</v>
      </c>
      <c r="X237" t="s">
        <v>87</v>
      </c>
      <c r="Y237" t="s">
        <v>88</v>
      </c>
      <c r="Z237" t="s">
        <v>89</v>
      </c>
      <c r="AB237" t="s">
        <v>1523</v>
      </c>
      <c r="AC237" s="23">
        <v>43231</v>
      </c>
    </row>
    <row r="238" spans="1:29" hidden="1" x14ac:dyDescent="0.25">
      <c r="A238">
        <v>596</v>
      </c>
      <c r="B238">
        <v>0</v>
      </c>
      <c r="C238" s="32" t="s">
        <v>1524</v>
      </c>
      <c r="D238" s="32" t="s">
        <v>11</v>
      </c>
      <c r="E238" t="s">
        <v>80</v>
      </c>
      <c r="F238">
        <v>915</v>
      </c>
      <c r="G238" s="33">
        <v>32579</v>
      </c>
      <c r="H238" s="33">
        <v>43140</v>
      </c>
      <c r="I238" s="23">
        <v>43140</v>
      </c>
      <c r="J238" t="s">
        <v>81</v>
      </c>
      <c r="K238" t="s">
        <v>82</v>
      </c>
      <c r="L238" s="32">
        <v>13078936146</v>
      </c>
      <c r="M238" s="32" t="s">
        <v>1525</v>
      </c>
      <c r="N238" s="32" t="s">
        <v>1526</v>
      </c>
      <c r="O238">
        <v>117.6</v>
      </c>
      <c r="P238">
        <v>122.92</v>
      </c>
      <c r="Q238">
        <v>122.92</v>
      </c>
      <c r="R238" s="32">
        <v>20</v>
      </c>
      <c r="S238" s="32" t="s">
        <v>204</v>
      </c>
      <c r="T238" s="32" t="s">
        <v>1527</v>
      </c>
      <c r="U238" t="s">
        <v>1528</v>
      </c>
      <c r="V238" t="s">
        <v>191</v>
      </c>
      <c r="W238">
        <v>43601</v>
      </c>
      <c r="X238" t="s">
        <v>1515</v>
      </c>
      <c r="Y238" t="s">
        <v>133</v>
      </c>
      <c r="Z238" t="s">
        <v>89</v>
      </c>
      <c r="AB238" t="s">
        <v>1529</v>
      </c>
      <c r="AC238" s="23">
        <v>43443</v>
      </c>
    </row>
    <row r="239" spans="1:29" hidden="1" x14ac:dyDescent="0.25">
      <c r="A239">
        <v>597</v>
      </c>
      <c r="B239">
        <v>0</v>
      </c>
      <c r="C239" s="32" t="s">
        <v>1530</v>
      </c>
      <c r="D239" s="32" t="s">
        <v>11</v>
      </c>
      <c r="E239" t="s">
        <v>80</v>
      </c>
      <c r="F239">
        <v>916</v>
      </c>
      <c r="G239" s="33">
        <v>27090</v>
      </c>
      <c r="H239" s="33">
        <v>43140</v>
      </c>
      <c r="I239" s="23">
        <v>43140</v>
      </c>
      <c r="J239" t="s">
        <v>81</v>
      </c>
      <c r="K239" t="s">
        <v>82</v>
      </c>
      <c r="L239" s="32">
        <v>94917412390</v>
      </c>
      <c r="M239" s="32" t="s">
        <v>1531</v>
      </c>
      <c r="N239" s="32" t="s">
        <v>1532</v>
      </c>
      <c r="O239">
        <v>117.6</v>
      </c>
      <c r="P239">
        <v>122.92</v>
      </c>
      <c r="Q239">
        <v>122.92</v>
      </c>
      <c r="R239" s="32">
        <v>20</v>
      </c>
      <c r="S239" s="32" t="s">
        <v>649</v>
      </c>
      <c r="T239" s="32" t="s">
        <v>1533</v>
      </c>
      <c r="U239" t="s">
        <v>1534</v>
      </c>
      <c r="V239" t="s">
        <v>1535</v>
      </c>
      <c r="W239">
        <v>55120</v>
      </c>
      <c r="X239" t="s">
        <v>240</v>
      </c>
      <c r="Y239" t="s">
        <v>88</v>
      </c>
      <c r="Z239" t="s">
        <v>89</v>
      </c>
      <c r="AB239" t="s">
        <v>1536</v>
      </c>
      <c r="AC239" s="23">
        <v>43504</v>
      </c>
    </row>
    <row r="240" spans="1:29" hidden="1" x14ac:dyDescent="0.25">
      <c r="A240">
        <v>598</v>
      </c>
      <c r="B240">
        <v>0</v>
      </c>
      <c r="C240" s="32" t="s">
        <v>1537</v>
      </c>
      <c r="D240" s="32" t="s">
        <v>11</v>
      </c>
      <c r="E240" t="s">
        <v>80</v>
      </c>
      <c r="F240">
        <v>920</v>
      </c>
      <c r="G240" s="33">
        <v>29777</v>
      </c>
      <c r="H240" s="33">
        <v>43206</v>
      </c>
      <c r="I240" s="23">
        <v>43206</v>
      </c>
      <c r="J240" t="s">
        <v>81</v>
      </c>
      <c r="K240" t="s">
        <v>82</v>
      </c>
      <c r="L240" s="32">
        <v>72968161520</v>
      </c>
      <c r="M240" s="32" t="s">
        <v>1538</v>
      </c>
      <c r="N240" s="32" t="s">
        <v>1539</v>
      </c>
      <c r="O240">
        <v>117.6</v>
      </c>
      <c r="P240">
        <v>122.92</v>
      </c>
      <c r="Q240">
        <v>122.92</v>
      </c>
      <c r="R240" s="32">
        <v>20</v>
      </c>
      <c r="S240" s="32" t="s">
        <v>94</v>
      </c>
      <c r="T240" s="32" t="s">
        <v>1540</v>
      </c>
      <c r="U240" t="s">
        <v>1541</v>
      </c>
      <c r="V240" t="s">
        <v>1542</v>
      </c>
      <c r="W240">
        <v>39901</v>
      </c>
      <c r="X240" t="s">
        <v>1543</v>
      </c>
      <c r="Y240" t="s">
        <v>193</v>
      </c>
      <c r="Z240" t="s">
        <v>89</v>
      </c>
      <c r="AA240">
        <v>1512083081</v>
      </c>
      <c r="AB240" t="s">
        <v>1544</v>
      </c>
      <c r="AC240" s="23">
        <v>43867</v>
      </c>
    </row>
    <row r="241" spans="1:29" hidden="1" x14ac:dyDescent="0.25">
      <c r="A241">
        <v>599</v>
      </c>
      <c r="B241">
        <v>0</v>
      </c>
      <c r="C241" s="32" t="s">
        <v>1545</v>
      </c>
      <c r="D241" s="32" t="s">
        <v>79</v>
      </c>
      <c r="E241" t="s">
        <v>120</v>
      </c>
      <c r="F241">
        <v>921</v>
      </c>
      <c r="G241" s="33">
        <v>25394</v>
      </c>
      <c r="H241" s="33">
        <v>43208</v>
      </c>
      <c r="I241" s="23">
        <v>43260</v>
      </c>
      <c r="J241" t="s">
        <v>81</v>
      </c>
      <c r="K241" t="s">
        <v>82</v>
      </c>
      <c r="L241" s="32">
        <v>75866909817</v>
      </c>
      <c r="M241" s="32" t="s">
        <v>1546</v>
      </c>
      <c r="N241" s="32" t="s">
        <v>1547</v>
      </c>
      <c r="O241">
        <v>117.6</v>
      </c>
      <c r="P241">
        <v>122.92</v>
      </c>
      <c r="Q241">
        <v>122.92</v>
      </c>
      <c r="R241" s="32">
        <v>20</v>
      </c>
      <c r="S241" s="32" t="s">
        <v>94</v>
      </c>
      <c r="T241" s="32" t="s">
        <v>1548</v>
      </c>
      <c r="U241" t="s">
        <v>1549</v>
      </c>
      <c r="V241" t="s">
        <v>1550</v>
      </c>
      <c r="W241">
        <v>55748</v>
      </c>
      <c r="X241" t="s">
        <v>1551</v>
      </c>
      <c r="Y241" t="s">
        <v>88</v>
      </c>
      <c r="Z241" t="s">
        <v>89</v>
      </c>
      <c r="AA241">
        <v>906158706</v>
      </c>
      <c r="AB241" t="s">
        <v>1552</v>
      </c>
      <c r="AC241" s="23">
        <v>43260</v>
      </c>
    </row>
    <row r="242" spans="1:29" hidden="1" x14ac:dyDescent="0.25">
      <c r="A242">
        <v>600</v>
      </c>
      <c r="B242">
        <v>0</v>
      </c>
      <c r="C242" s="32" t="s">
        <v>1553</v>
      </c>
      <c r="D242" s="32" t="s">
        <v>11</v>
      </c>
      <c r="E242" t="s">
        <v>80</v>
      </c>
      <c r="F242">
        <v>922</v>
      </c>
      <c r="G242" s="33">
        <v>24515</v>
      </c>
      <c r="H242" s="33">
        <v>43210</v>
      </c>
      <c r="I242" s="23">
        <v>43210</v>
      </c>
      <c r="J242" t="s">
        <v>81</v>
      </c>
      <c r="K242" t="s">
        <v>82</v>
      </c>
      <c r="L242" s="32">
        <v>42906716685</v>
      </c>
      <c r="M242" s="32" t="s">
        <v>1554</v>
      </c>
      <c r="N242" s="32" t="s">
        <v>1555</v>
      </c>
      <c r="O242">
        <v>117.6</v>
      </c>
      <c r="P242">
        <v>122.92</v>
      </c>
      <c r="Q242">
        <v>122.92</v>
      </c>
      <c r="R242" s="32">
        <v>20</v>
      </c>
      <c r="S242" s="32" t="s">
        <v>94</v>
      </c>
      <c r="T242" s="32">
        <v>445573324173</v>
      </c>
      <c r="U242" t="s">
        <v>1556</v>
      </c>
      <c r="V242" t="s">
        <v>1557</v>
      </c>
      <c r="W242">
        <v>55430</v>
      </c>
      <c r="X242" t="s">
        <v>240</v>
      </c>
      <c r="Y242" t="s">
        <v>88</v>
      </c>
      <c r="Z242" t="s">
        <v>89</v>
      </c>
      <c r="AB242" t="s">
        <v>1558</v>
      </c>
      <c r="AC242" s="23">
        <v>43484</v>
      </c>
    </row>
    <row r="243" spans="1:29" hidden="1" x14ac:dyDescent="0.25">
      <c r="A243">
        <v>601</v>
      </c>
      <c r="B243">
        <v>0</v>
      </c>
      <c r="C243" s="32" t="s">
        <v>1559</v>
      </c>
      <c r="D243" s="32" t="s">
        <v>11</v>
      </c>
      <c r="E243" t="s">
        <v>80</v>
      </c>
      <c r="F243">
        <v>923</v>
      </c>
      <c r="G243" s="33">
        <v>24695</v>
      </c>
      <c r="H243" s="33">
        <v>43210</v>
      </c>
      <c r="I243" s="23">
        <v>43210</v>
      </c>
      <c r="J243" t="s">
        <v>81</v>
      </c>
      <c r="K243" t="s">
        <v>82</v>
      </c>
      <c r="L243" s="32">
        <v>78846708135</v>
      </c>
      <c r="M243" s="32" t="s">
        <v>1560</v>
      </c>
      <c r="N243" s="32" t="s">
        <v>1561</v>
      </c>
      <c r="O243">
        <v>117.6</v>
      </c>
      <c r="P243">
        <v>122.92</v>
      </c>
      <c r="Q243">
        <v>122.92</v>
      </c>
      <c r="R243" s="32">
        <v>20</v>
      </c>
      <c r="S243" s="32" t="s">
        <v>94</v>
      </c>
      <c r="T243" s="32" t="s">
        <v>1562</v>
      </c>
      <c r="U243" t="s">
        <v>1563</v>
      </c>
      <c r="V243" t="s">
        <v>1564</v>
      </c>
      <c r="W243">
        <v>70610</v>
      </c>
      <c r="X243" t="s">
        <v>1565</v>
      </c>
      <c r="Y243" t="s">
        <v>271</v>
      </c>
      <c r="Z243" t="s">
        <v>89</v>
      </c>
      <c r="AB243" t="s">
        <v>1566</v>
      </c>
      <c r="AC243" s="23">
        <v>43372</v>
      </c>
    </row>
    <row r="244" spans="1:29" hidden="1" x14ac:dyDescent="0.25">
      <c r="A244">
        <v>602</v>
      </c>
      <c r="B244">
        <v>0</v>
      </c>
      <c r="C244" s="32" t="s">
        <v>1567</v>
      </c>
      <c r="D244" s="32" t="s">
        <v>79</v>
      </c>
      <c r="E244" t="s">
        <v>120</v>
      </c>
      <c r="F244">
        <v>924</v>
      </c>
      <c r="G244" s="33">
        <v>25369</v>
      </c>
      <c r="H244" s="33">
        <v>43213</v>
      </c>
      <c r="I244" s="23">
        <v>43934</v>
      </c>
      <c r="J244" t="s">
        <v>81</v>
      </c>
      <c r="K244" t="s">
        <v>82</v>
      </c>
      <c r="L244" s="32">
        <v>92926930154</v>
      </c>
      <c r="M244" s="32" t="s">
        <v>1568</v>
      </c>
      <c r="N244" s="32" t="s">
        <v>1569</v>
      </c>
      <c r="O244">
        <v>117.6</v>
      </c>
      <c r="P244">
        <v>122.92</v>
      </c>
      <c r="Q244">
        <v>122.92</v>
      </c>
      <c r="R244" s="32">
        <v>20</v>
      </c>
      <c r="S244" s="32" t="s">
        <v>94</v>
      </c>
      <c r="T244" s="32" t="s">
        <v>1570</v>
      </c>
      <c r="U244" t="s">
        <v>1571</v>
      </c>
      <c r="V244" t="s">
        <v>1572</v>
      </c>
      <c r="W244">
        <v>54770</v>
      </c>
      <c r="X244" t="s">
        <v>1573</v>
      </c>
      <c r="Y244" t="s">
        <v>88</v>
      </c>
      <c r="Z244" t="s">
        <v>89</v>
      </c>
      <c r="AB244" t="s">
        <v>1574</v>
      </c>
      <c r="AC244" s="23">
        <v>43369</v>
      </c>
    </row>
    <row r="245" spans="1:29" hidden="1" x14ac:dyDescent="0.25">
      <c r="A245">
        <v>603</v>
      </c>
      <c r="B245">
        <v>0</v>
      </c>
      <c r="C245" s="32" t="s">
        <v>1575</v>
      </c>
      <c r="D245" s="32" t="s">
        <v>11</v>
      </c>
      <c r="E245" t="s">
        <v>1361</v>
      </c>
      <c r="F245">
        <v>924</v>
      </c>
      <c r="G245" s="33">
        <v>24513</v>
      </c>
      <c r="H245" s="33">
        <v>43367</v>
      </c>
      <c r="I245" s="23">
        <v>43367</v>
      </c>
      <c r="J245" t="s">
        <v>81</v>
      </c>
      <c r="K245" t="s">
        <v>82</v>
      </c>
      <c r="L245" s="32">
        <v>10866748378</v>
      </c>
      <c r="M245" s="32" t="s">
        <v>1576</v>
      </c>
      <c r="N245" s="32" t="s">
        <v>1577</v>
      </c>
      <c r="O245">
        <v>117.6</v>
      </c>
      <c r="P245">
        <v>122.92</v>
      </c>
      <c r="Q245">
        <v>122.92</v>
      </c>
      <c r="R245" s="32">
        <v>20</v>
      </c>
      <c r="S245" s="32" t="s">
        <v>94</v>
      </c>
      <c r="T245" s="32">
        <v>5532343165</v>
      </c>
      <c r="U245" t="s">
        <v>1578</v>
      </c>
      <c r="V245" t="s">
        <v>484</v>
      </c>
      <c r="W245">
        <v>56243</v>
      </c>
      <c r="X245" t="s">
        <v>373</v>
      </c>
      <c r="Y245" t="s">
        <v>223</v>
      </c>
      <c r="Z245" t="s">
        <v>89</v>
      </c>
      <c r="AA245" t="s">
        <v>710</v>
      </c>
      <c r="AB245" t="s">
        <v>1579</v>
      </c>
      <c r="AC245" s="23">
        <v>43842</v>
      </c>
    </row>
    <row r="246" spans="1:29" hidden="1" x14ac:dyDescent="0.25">
      <c r="A246">
        <v>604</v>
      </c>
      <c r="B246">
        <v>0</v>
      </c>
      <c r="C246" s="32" t="s">
        <v>1580</v>
      </c>
      <c r="D246" s="32" t="s">
        <v>11</v>
      </c>
      <c r="E246" t="s">
        <v>1361</v>
      </c>
      <c r="F246">
        <v>926</v>
      </c>
      <c r="G246" s="33">
        <v>43371</v>
      </c>
      <c r="H246" s="33">
        <v>43371</v>
      </c>
      <c r="I246" s="23">
        <v>43371</v>
      </c>
      <c r="J246" t="s">
        <v>81</v>
      </c>
      <c r="K246" t="s">
        <v>82</v>
      </c>
      <c r="L246" s="32">
        <v>28957901524</v>
      </c>
      <c r="M246" s="32" t="s">
        <v>2427</v>
      </c>
      <c r="N246" s="32" t="s">
        <v>1581</v>
      </c>
      <c r="O246">
        <v>117.6</v>
      </c>
      <c r="P246">
        <v>122.92</v>
      </c>
      <c r="Q246">
        <v>122.92</v>
      </c>
      <c r="R246" s="32">
        <v>20</v>
      </c>
      <c r="S246" s="32" t="s">
        <v>94</v>
      </c>
      <c r="T246" s="32">
        <v>5566096189</v>
      </c>
      <c r="U246" t="s">
        <v>1582</v>
      </c>
      <c r="V246" t="s">
        <v>1583</v>
      </c>
      <c r="W246">
        <v>54933</v>
      </c>
      <c r="X246" t="s">
        <v>756</v>
      </c>
      <c r="Y246" t="s">
        <v>88</v>
      </c>
      <c r="Z246" t="s">
        <v>89</v>
      </c>
      <c r="AA246" t="s">
        <v>710</v>
      </c>
      <c r="AB246" t="s">
        <v>1584</v>
      </c>
      <c r="AC246" s="23">
        <v>44100</v>
      </c>
    </row>
    <row r="247" spans="1:29" hidden="1" x14ac:dyDescent="0.25">
      <c r="A247">
        <v>605</v>
      </c>
      <c r="B247">
        <v>0</v>
      </c>
      <c r="C247" s="32" t="s">
        <v>1585</v>
      </c>
      <c r="D247" s="32" t="s">
        <v>11</v>
      </c>
      <c r="E247" t="s">
        <v>1361</v>
      </c>
      <c r="F247">
        <v>927</v>
      </c>
      <c r="G247" s="33">
        <v>31811</v>
      </c>
      <c r="H247" s="33">
        <v>43382</v>
      </c>
      <c r="I247" s="23">
        <v>43382</v>
      </c>
      <c r="J247" t="s">
        <v>81</v>
      </c>
      <c r="K247" t="s">
        <v>82</v>
      </c>
      <c r="L247" s="32">
        <v>94058707004</v>
      </c>
      <c r="M247" s="32" t="s">
        <v>2428</v>
      </c>
      <c r="N247" s="32" t="s">
        <v>1586</v>
      </c>
      <c r="O247">
        <v>117.6</v>
      </c>
      <c r="P247">
        <v>117.6</v>
      </c>
      <c r="Q247">
        <v>122.92</v>
      </c>
      <c r="R247" s="32">
        <v>20</v>
      </c>
      <c r="S247" s="32" t="s">
        <v>94</v>
      </c>
      <c r="T247" s="32">
        <v>58358128</v>
      </c>
      <c r="U247" t="s">
        <v>1587</v>
      </c>
      <c r="V247" t="s">
        <v>1588</v>
      </c>
      <c r="W247">
        <v>55024</v>
      </c>
      <c r="X247" t="s">
        <v>240</v>
      </c>
      <c r="Y247" t="s">
        <v>88</v>
      </c>
      <c r="Z247" t="s">
        <v>89</v>
      </c>
      <c r="AA247" t="s">
        <v>710</v>
      </c>
      <c r="AB247" t="s">
        <v>1589</v>
      </c>
      <c r="AC247" s="23">
        <v>43684</v>
      </c>
    </row>
    <row r="248" spans="1:29" hidden="1" x14ac:dyDescent="0.25">
      <c r="A248">
        <v>606</v>
      </c>
      <c r="B248">
        <v>0</v>
      </c>
      <c r="C248" s="32" t="s">
        <v>1590</v>
      </c>
      <c r="D248" s="32" t="s">
        <v>11</v>
      </c>
      <c r="E248" t="s">
        <v>1361</v>
      </c>
      <c r="F248">
        <v>929</v>
      </c>
      <c r="G248" s="33">
        <v>27694</v>
      </c>
      <c r="H248" s="33">
        <v>43385</v>
      </c>
      <c r="I248" s="23">
        <v>43385</v>
      </c>
      <c r="J248" t="s">
        <v>81</v>
      </c>
      <c r="K248" t="s">
        <v>82</v>
      </c>
      <c r="L248" s="32">
        <v>94907327053</v>
      </c>
      <c r="M248" s="32" t="s">
        <v>2429</v>
      </c>
      <c r="N248" s="32" t="s">
        <v>1591</v>
      </c>
      <c r="O248">
        <v>117.6</v>
      </c>
      <c r="P248">
        <v>117.6</v>
      </c>
      <c r="Q248">
        <v>122.92</v>
      </c>
      <c r="R248" s="32">
        <v>20</v>
      </c>
      <c r="S248" s="32" t="s">
        <v>94</v>
      </c>
      <c r="T248" s="32">
        <v>5563434313</v>
      </c>
      <c r="U248" t="s">
        <v>1592</v>
      </c>
      <c r="V248" t="s">
        <v>1593</v>
      </c>
      <c r="W248">
        <v>55310</v>
      </c>
      <c r="X248" t="s">
        <v>240</v>
      </c>
      <c r="Y248" t="s">
        <v>88</v>
      </c>
      <c r="Z248" t="s">
        <v>89</v>
      </c>
      <c r="AA248" t="s">
        <v>710</v>
      </c>
      <c r="AB248" t="s">
        <v>1594</v>
      </c>
      <c r="AC248" s="23">
        <v>43913</v>
      </c>
    </row>
    <row r="249" spans="1:29" hidden="1" x14ac:dyDescent="0.25">
      <c r="A249">
        <v>607</v>
      </c>
      <c r="B249">
        <v>0</v>
      </c>
      <c r="C249" s="32" t="s">
        <v>1595</v>
      </c>
      <c r="D249" s="32" t="s">
        <v>11</v>
      </c>
      <c r="E249" t="s">
        <v>1361</v>
      </c>
      <c r="F249">
        <v>932</v>
      </c>
      <c r="G249" s="33">
        <v>29714</v>
      </c>
      <c r="H249" s="33">
        <v>43392</v>
      </c>
      <c r="I249" s="23">
        <v>43392</v>
      </c>
      <c r="J249" t="s">
        <v>81</v>
      </c>
      <c r="K249" t="s">
        <v>82</v>
      </c>
      <c r="L249" s="32">
        <v>4028161539</v>
      </c>
      <c r="M249" s="32" t="s">
        <v>1596</v>
      </c>
      <c r="N249" s="32" t="s">
        <v>1597</v>
      </c>
      <c r="O249">
        <v>117.6</v>
      </c>
      <c r="P249">
        <v>122.92</v>
      </c>
      <c r="Q249">
        <v>122.92</v>
      </c>
      <c r="R249" s="32">
        <v>20</v>
      </c>
      <c r="S249" s="32" t="s">
        <v>94</v>
      </c>
      <c r="T249" s="32"/>
      <c r="U249" t="s">
        <v>1598</v>
      </c>
      <c r="V249" t="s">
        <v>499</v>
      </c>
      <c r="W249">
        <v>45190</v>
      </c>
      <c r="X249" t="s">
        <v>1599</v>
      </c>
      <c r="Y249" t="s">
        <v>112</v>
      </c>
      <c r="Z249" t="s">
        <v>89</v>
      </c>
      <c r="AB249" t="s">
        <v>1600</v>
      </c>
      <c r="AC249" s="23">
        <v>44108</v>
      </c>
    </row>
    <row r="250" spans="1:29" hidden="1" x14ac:dyDescent="0.25">
      <c r="A250">
        <v>608</v>
      </c>
      <c r="B250">
        <v>0</v>
      </c>
      <c r="C250" s="32" t="s">
        <v>1601</v>
      </c>
      <c r="D250" s="32" t="s">
        <v>11</v>
      </c>
      <c r="E250" t="s">
        <v>1361</v>
      </c>
      <c r="F250">
        <v>930</v>
      </c>
      <c r="G250" s="33">
        <v>24960</v>
      </c>
      <c r="H250" s="33">
        <v>43392</v>
      </c>
      <c r="I250" s="23">
        <v>43392</v>
      </c>
      <c r="J250" t="s">
        <v>81</v>
      </c>
      <c r="K250" t="s">
        <v>82</v>
      </c>
      <c r="L250" s="32">
        <v>19856806906</v>
      </c>
      <c r="M250" s="32" t="s">
        <v>1602</v>
      </c>
      <c r="N250" s="32" t="s">
        <v>1603</v>
      </c>
      <c r="O250">
        <v>117.6</v>
      </c>
      <c r="P250">
        <v>122.92</v>
      </c>
      <c r="Q250">
        <v>122.92</v>
      </c>
      <c r="R250" s="32">
        <v>20</v>
      </c>
      <c r="S250" s="32" t="s">
        <v>94</v>
      </c>
      <c r="T250" s="32">
        <v>7712075455</v>
      </c>
      <c r="U250" t="s">
        <v>1604</v>
      </c>
      <c r="V250" t="s">
        <v>1605</v>
      </c>
      <c r="W250">
        <v>56300</v>
      </c>
      <c r="X250" t="s">
        <v>1606</v>
      </c>
      <c r="Y250" t="s">
        <v>88</v>
      </c>
      <c r="Z250" t="s">
        <v>89</v>
      </c>
      <c r="AB250" t="s">
        <v>1607</v>
      </c>
      <c r="AC250" s="23">
        <v>43630</v>
      </c>
    </row>
    <row r="251" spans="1:29" hidden="1" x14ac:dyDescent="0.25">
      <c r="A251">
        <v>609</v>
      </c>
      <c r="B251">
        <v>0</v>
      </c>
      <c r="C251" s="32" t="s">
        <v>1608</v>
      </c>
      <c r="D251" s="32" t="s">
        <v>11</v>
      </c>
      <c r="E251" t="s">
        <v>1361</v>
      </c>
      <c r="F251">
        <v>933</v>
      </c>
      <c r="G251" s="33">
        <v>30642</v>
      </c>
      <c r="H251" s="33">
        <v>43396</v>
      </c>
      <c r="I251" s="23">
        <v>43396</v>
      </c>
      <c r="J251" t="s">
        <v>81</v>
      </c>
      <c r="K251" t="s">
        <v>82</v>
      </c>
      <c r="L251" s="32">
        <v>33978067321</v>
      </c>
      <c r="M251" s="32" t="s">
        <v>1609</v>
      </c>
      <c r="N251" s="32" t="s">
        <v>1610</v>
      </c>
      <c r="O251">
        <v>117.6</v>
      </c>
      <c r="P251">
        <v>122.92</v>
      </c>
      <c r="Q251">
        <v>122.92</v>
      </c>
      <c r="R251" s="32">
        <v>19</v>
      </c>
      <c r="S251" s="32" t="s">
        <v>94</v>
      </c>
      <c r="T251" s="32">
        <v>6563871750</v>
      </c>
      <c r="U251" t="s">
        <v>1611</v>
      </c>
      <c r="V251" t="s">
        <v>1612</v>
      </c>
      <c r="W251">
        <v>32670</v>
      </c>
      <c r="X251" t="s">
        <v>277</v>
      </c>
      <c r="Y251" t="s">
        <v>118</v>
      </c>
      <c r="Z251" t="s">
        <v>89</v>
      </c>
      <c r="AC251" s="23">
        <v>43398</v>
      </c>
    </row>
    <row r="252" spans="1:29" hidden="1" x14ac:dyDescent="0.25">
      <c r="A252">
        <v>610</v>
      </c>
      <c r="B252">
        <v>0</v>
      </c>
      <c r="C252" s="32" t="s">
        <v>1613</v>
      </c>
      <c r="D252" s="32" t="s">
        <v>11</v>
      </c>
      <c r="E252" t="s">
        <v>1614</v>
      </c>
      <c r="F252">
        <v>940</v>
      </c>
      <c r="G252" s="33">
        <v>43407</v>
      </c>
      <c r="H252" s="33">
        <v>43393</v>
      </c>
      <c r="I252" s="23">
        <v>43363</v>
      </c>
      <c r="J252" t="s">
        <v>81</v>
      </c>
      <c r="K252" t="s">
        <v>82</v>
      </c>
      <c r="L252" s="32">
        <v>6591802955</v>
      </c>
      <c r="M252" s="32" t="s">
        <v>2430</v>
      </c>
      <c r="N252" s="32" t="s">
        <v>1615</v>
      </c>
      <c r="O252">
        <v>117.6</v>
      </c>
      <c r="P252">
        <v>122.92</v>
      </c>
      <c r="Q252">
        <v>122.92</v>
      </c>
      <c r="R252" s="32">
        <v>20</v>
      </c>
      <c r="S252" s="32" t="s">
        <v>94</v>
      </c>
      <c r="T252" s="32">
        <v>2288240310</v>
      </c>
      <c r="U252" t="s">
        <v>1616</v>
      </c>
      <c r="V252" t="s">
        <v>173</v>
      </c>
      <c r="W252">
        <v>91100</v>
      </c>
      <c r="X252" t="s">
        <v>865</v>
      </c>
      <c r="Y252" t="s">
        <v>98</v>
      </c>
      <c r="Z252" t="s">
        <v>89</v>
      </c>
      <c r="AA252" t="s">
        <v>710</v>
      </c>
      <c r="AB252" t="s">
        <v>1617</v>
      </c>
      <c r="AC252" s="23">
        <v>43615</v>
      </c>
    </row>
    <row r="253" spans="1:29" hidden="1" x14ac:dyDescent="0.25">
      <c r="A253">
        <v>611</v>
      </c>
      <c r="B253">
        <v>0</v>
      </c>
      <c r="C253" s="32" t="s">
        <v>1618</v>
      </c>
      <c r="D253" s="32" t="s">
        <v>11</v>
      </c>
      <c r="E253" t="s">
        <v>1614</v>
      </c>
      <c r="F253">
        <v>939</v>
      </c>
      <c r="G253" s="33">
        <v>26608</v>
      </c>
      <c r="H253" s="33">
        <v>43399</v>
      </c>
      <c r="I253" s="23">
        <v>43399</v>
      </c>
      <c r="J253" t="s">
        <v>81</v>
      </c>
      <c r="K253" t="s">
        <v>82</v>
      </c>
      <c r="L253" s="32">
        <v>94947211705</v>
      </c>
      <c r="M253" s="32" t="s">
        <v>2431</v>
      </c>
      <c r="N253" s="32" t="s">
        <v>1619</v>
      </c>
      <c r="O253">
        <v>117.6</v>
      </c>
      <c r="P253">
        <v>122.92</v>
      </c>
      <c r="Q253">
        <v>122.92</v>
      </c>
      <c r="R253" s="32">
        <v>20</v>
      </c>
      <c r="S253" s="32" t="s">
        <v>94</v>
      </c>
      <c r="T253" s="32"/>
      <c r="U253" t="s">
        <v>1620</v>
      </c>
      <c r="V253" t="s">
        <v>1621</v>
      </c>
      <c r="W253">
        <v>56560</v>
      </c>
      <c r="X253" t="s">
        <v>428</v>
      </c>
      <c r="Y253" t="s">
        <v>88</v>
      </c>
      <c r="Z253" t="s">
        <v>89</v>
      </c>
      <c r="AA253">
        <v>1312127971</v>
      </c>
      <c r="AB253" t="s">
        <v>1622</v>
      </c>
      <c r="AC253" s="23">
        <v>43383</v>
      </c>
    </row>
    <row r="254" spans="1:29" hidden="1" x14ac:dyDescent="0.25">
      <c r="A254">
        <v>612</v>
      </c>
      <c r="B254">
        <v>0</v>
      </c>
      <c r="C254" s="32" t="s">
        <v>1623</v>
      </c>
      <c r="D254" s="32" t="s">
        <v>11</v>
      </c>
      <c r="E254" t="s">
        <v>1624</v>
      </c>
      <c r="F254">
        <v>943</v>
      </c>
      <c r="G254" s="33">
        <v>24652</v>
      </c>
      <c r="H254" s="33">
        <v>43406</v>
      </c>
      <c r="I254" s="23">
        <v>43406</v>
      </c>
      <c r="J254" t="s">
        <v>81</v>
      </c>
      <c r="K254" t="s">
        <v>82</v>
      </c>
      <c r="L254" s="32">
        <v>10856824197</v>
      </c>
      <c r="M254" s="32" t="s">
        <v>1625</v>
      </c>
      <c r="N254" s="32" t="s">
        <v>1626</v>
      </c>
      <c r="O254">
        <v>117.6</v>
      </c>
      <c r="P254">
        <v>122.92</v>
      </c>
      <c r="Q254">
        <v>122.92</v>
      </c>
      <c r="R254" s="32">
        <v>20</v>
      </c>
      <c r="S254" s="32" t="s">
        <v>94</v>
      </c>
      <c r="T254" s="32"/>
      <c r="U254" t="s">
        <v>1627</v>
      </c>
      <c r="V254" t="s">
        <v>626</v>
      </c>
      <c r="W254">
        <v>72310</v>
      </c>
      <c r="X254" t="s">
        <v>145</v>
      </c>
      <c r="Y254" t="s">
        <v>145</v>
      </c>
      <c r="Z254" t="s">
        <v>89</v>
      </c>
      <c r="AB254" t="s">
        <v>1628</v>
      </c>
      <c r="AC254" s="23">
        <v>43490</v>
      </c>
    </row>
    <row r="255" spans="1:29" hidden="1" x14ac:dyDescent="0.25">
      <c r="A255">
        <v>613</v>
      </c>
      <c r="B255">
        <v>0</v>
      </c>
      <c r="C255" s="32" t="s">
        <v>1629</v>
      </c>
      <c r="D255" s="32" t="s">
        <v>11</v>
      </c>
      <c r="E255" t="s">
        <v>80</v>
      </c>
      <c r="F255">
        <v>950</v>
      </c>
      <c r="G255" s="33">
        <v>27657</v>
      </c>
      <c r="H255" s="33">
        <v>43424</v>
      </c>
      <c r="I255" s="23">
        <v>43678</v>
      </c>
      <c r="J255" t="s">
        <v>81</v>
      </c>
      <c r="K255" t="s">
        <v>82</v>
      </c>
      <c r="L255" s="32">
        <v>65957500591</v>
      </c>
      <c r="M255" s="32" t="s">
        <v>1630</v>
      </c>
      <c r="N255" s="32" t="s">
        <v>1631</v>
      </c>
      <c r="O255">
        <v>117.6</v>
      </c>
      <c r="P255">
        <v>122.92</v>
      </c>
      <c r="Q255">
        <v>122.92</v>
      </c>
      <c r="R255" s="32">
        <v>20</v>
      </c>
      <c r="S255" s="32" t="s">
        <v>94</v>
      </c>
      <c r="T255" s="32">
        <v>2288340661</v>
      </c>
      <c r="U255" t="s">
        <v>1632</v>
      </c>
      <c r="V255" t="s">
        <v>173</v>
      </c>
      <c r="W255">
        <v>91100</v>
      </c>
      <c r="X255" t="s">
        <v>865</v>
      </c>
      <c r="Y255" t="s">
        <v>98</v>
      </c>
      <c r="Z255" t="s">
        <v>89</v>
      </c>
      <c r="AA255">
        <v>3311189527</v>
      </c>
      <c r="AB255" t="s">
        <v>1633</v>
      </c>
      <c r="AC255" s="23">
        <v>43678</v>
      </c>
    </row>
    <row r="256" spans="1:29" hidden="1" x14ac:dyDescent="0.25">
      <c r="A256">
        <v>614</v>
      </c>
      <c r="B256">
        <v>0</v>
      </c>
      <c r="C256" s="32" t="s">
        <v>1634</v>
      </c>
      <c r="D256" s="32" t="s">
        <v>11</v>
      </c>
      <c r="E256" t="s">
        <v>1624</v>
      </c>
      <c r="F256">
        <v>948</v>
      </c>
      <c r="G256" s="33">
        <v>29128</v>
      </c>
      <c r="H256" s="33">
        <v>43424</v>
      </c>
      <c r="I256" s="23">
        <v>43424</v>
      </c>
      <c r="J256" t="s">
        <v>81</v>
      </c>
      <c r="K256" t="s">
        <v>82</v>
      </c>
      <c r="L256" s="32">
        <v>96087905335</v>
      </c>
      <c r="M256" s="32" t="s">
        <v>1635</v>
      </c>
      <c r="N256" s="32" t="s">
        <v>1636</v>
      </c>
      <c r="O256">
        <v>117.6</v>
      </c>
      <c r="P256">
        <v>122.92</v>
      </c>
      <c r="Q256">
        <v>122.92</v>
      </c>
      <c r="R256" s="32">
        <v>20</v>
      </c>
      <c r="S256" s="32" t="s">
        <v>94</v>
      </c>
      <c r="T256" s="32">
        <v>5586969039</v>
      </c>
      <c r="U256" t="s">
        <v>1637</v>
      </c>
      <c r="V256" t="s">
        <v>239</v>
      </c>
      <c r="W256">
        <v>55234</v>
      </c>
      <c r="X256" t="s">
        <v>240</v>
      </c>
      <c r="Y256" t="s">
        <v>88</v>
      </c>
      <c r="Z256" t="s">
        <v>89</v>
      </c>
      <c r="AA256">
        <v>0</v>
      </c>
      <c r="AB256" t="s">
        <v>1638</v>
      </c>
      <c r="AC256" s="23">
        <v>44070</v>
      </c>
    </row>
    <row r="257" spans="1:29" hidden="1" x14ac:dyDescent="0.25">
      <c r="A257">
        <v>615</v>
      </c>
      <c r="B257">
        <v>0</v>
      </c>
      <c r="C257" s="32" t="s">
        <v>1639</v>
      </c>
      <c r="D257" s="32" t="s">
        <v>79</v>
      </c>
      <c r="E257" t="s">
        <v>80</v>
      </c>
      <c r="F257">
        <v>955</v>
      </c>
      <c r="G257" s="33">
        <v>30581</v>
      </c>
      <c r="H257" s="33">
        <v>43433</v>
      </c>
      <c r="I257" s="23">
        <v>44085</v>
      </c>
      <c r="J257" t="s">
        <v>81</v>
      </c>
      <c r="K257" t="s">
        <v>82</v>
      </c>
      <c r="L257" s="32">
        <v>35988193799</v>
      </c>
      <c r="M257" s="32" t="s">
        <v>1640</v>
      </c>
      <c r="N257" s="32" t="s">
        <v>1641</v>
      </c>
      <c r="O257">
        <v>117.6</v>
      </c>
      <c r="P257">
        <v>122.92</v>
      </c>
      <c r="Q257">
        <v>122.92</v>
      </c>
      <c r="R257" s="32">
        <v>19</v>
      </c>
      <c r="S257" s="32" t="s">
        <v>94</v>
      </c>
      <c r="T257" s="32">
        <v>6565520965</v>
      </c>
      <c r="U257" t="s">
        <v>1642</v>
      </c>
      <c r="V257" t="s">
        <v>1643</v>
      </c>
      <c r="W257">
        <v>32695</v>
      </c>
      <c r="X257" t="s">
        <v>117</v>
      </c>
      <c r="Y257" t="s">
        <v>118</v>
      </c>
      <c r="Z257" t="s">
        <v>89</v>
      </c>
      <c r="AA257">
        <v>0</v>
      </c>
      <c r="AB257" t="s">
        <v>1644</v>
      </c>
      <c r="AC257" s="23">
        <v>43452</v>
      </c>
    </row>
    <row r="258" spans="1:29" hidden="1" x14ac:dyDescent="0.25">
      <c r="A258">
        <v>616</v>
      </c>
      <c r="B258">
        <v>0</v>
      </c>
      <c r="C258" s="32" t="s">
        <v>1645</v>
      </c>
      <c r="D258" s="32" t="s">
        <v>11</v>
      </c>
      <c r="E258" t="s">
        <v>1624</v>
      </c>
      <c r="F258">
        <v>957</v>
      </c>
      <c r="G258" s="33">
        <v>33829</v>
      </c>
      <c r="H258" s="33">
        <v>43451</v>
      </c>
      <c r="I258" s="23">
        <v>43451</v>
      </c>
      <c r="J258" t="s">
        <v>81</v>
      </c>
      <c r="K258" t="s">
        <v>82</v>
      </c>
      <c r="L258" s="32">
        <v>17159291859</v>
      </c>
      <c r="M258" s="32" t="s">
        <v>1646</v>
      </c>
      <c r="N258" s="32" t="s">
        <v>1647</v>
      </c>
      <c r="O258">
        <v>117.6</v>
      </c>
      <c r="P258">
        <v>122.92</v>
      </c>
      <c r="Q258">
        <v>122.92</v>
      </c>
      <c r="R258" s="32">
        <v>20</v>
      </c>
      <c r="S258" s="32" t="s">
        <v>94</v>
      </c>
      <c r="T258" s="32">
        <v>9993308304</v>
      </c>
      <c r="U258" t="s">
        <v>1648</v>
      </c>
      <c r="V258" t="s">
        <v>1649</v>
      </c>
      <c r="W258">
        <v>86680</v>
      </c>
      <c r="X258" t="s">
        <v>1650</v>
      </c>
      <c r="Y258" t="s">
        <v>105</v>
      </c>
      <c r="Z258" t="s">
        <v>89</v>
      </c>
      <c r="AA258">
        <v>0</v>
      </c>
      <c r="AB258" t="s">
        <v>1651</v>
      </c>
      <c r="AC258" s="23">
        <v>43707</v>
      </c>
    </row>
    <row r="259" spans="1:29" hidden="1" x14ac:dyDescent="0.25">
      <c r="A259">
        <v>617</v>
      </c>
      <c r="B259">
        <v>0</v>
      </c>
      <c r="C259" s="32" t="s">
        <v>1652</v>
      </c>
      <c r="D259" s="32" t="s">
        <v>11</v>
      </c>
      <c r="E259" t="s">
        <v>1624</v>
      </c>
      <c r="F259">
        <v>958</v>
      </c>
      <c r="G259" s="33">
        <v>29537</v>
      </c>
      <c r="H259" s="33">
        <v>43451</v>
      </c>
      <c r="I259" s="23">
        <v>43451</v>
      </c>
      <c r="J259" t="s">
        <v>81</v>
      </c>
      <c r="K259" t="s">
        <v>82</v>
      </c>
      <c r="L259" s="32">
        <v>1028002283</v>
      </c>
      <c r="M259" s="32" t="s">
        <v>1653</v>
      </c>
      <c r="N259" s="32" t="s">
        <v>1654</v>
      </c>
      <c r="O259">
        <v>117.6</v>
      </c>
      <c r="P259">
        <v>122.92</v>
      </c>
      <c r="Q259">
        <v>122.92</v>
      </c>
      <c r="R259" s="32">
        <v>20</v>
      </c>
      <c r="S259" s="32" t="s">
        <v>94</v>
      </c>
      <c r="T259" s="32">
        <v>5542900455</v>
      </c>
      <c r="U259" t="s">
        <v>1655</v>
      </c>
      <c r="V259" t="s">
        <v>1656</v>
      </c>
      <c r="W259">
        <v>43810</v>
      </c>
      <c r="X259" t="s">
        <v>885</v>
      </c>
      <c r="Y259" t="s">
        <v>133</v>
      </c>
      <c r="Z259" t="s">
        <v>89</v>
      </c>
      <c r="AA259">
        <v>1314143004</v>
      </c>
      <c r="AB259" t="s">
        <v>1657</v>
      </c>
      <c r="AC259" s="23">
        <v>43792</v>
      </c>
    </row>
    <row r="260" spans="1:29" hidden="1" x14ac:dyDescent="0.25">
      <c r="A260">
        <v>618</v>
      </c>
      <c r="B260">
        <v>0</v>
      </c>
      <c r="C260" s="32" t="s">
        <v>1658</v>
      </c>
      <c r="D260" s="32" t="s">
        <v>11</v>
      </c>
      <c r="E260" t="s">
        <v>1624</v>
      </c>
      <c r="F260">
        <v>324</v>
      </c>
      <c r="G260" s="33">
        <v>25996</v>
      </c>
      <c r="H260" s="33">
        <v>43451</v>
      </c>
      <c r="I260" s="23">
        <v>43451</v>
      </c>
      <c r="J260" t="s">
        <v>81</v>
      </c>
      <c r="K260" t="s">
        <v>82</v>
      </c>
      <c r="L260" s="32">
        <v>37907129433</v>
      </c>
      <c r="M260" s="32" t="s">
        <v>1659</v>
      </c>
      <c r="N260" s="32" t="s">
        <v>1660</v>
      </c>
      <c r="O260">
        <v>117.6</v>
      </c>
      <c r="P260">
        <v>122.92</v>
      </c>
      <c r="Q260">
        <v>122.92</v>
      </c>
      <c r="R260" s="32">
        <v>20</v>
      </c>
      <c r="S260" s="32" t="s">
        <v>94</v>
      </c>
      <c r="T260" s="32"/>
      <c r="U260" t="s">
        <v>1661</v>
      </c>
      <c r="V260" t="s">
        <v>1662</v>
      </c>
      <c r="W260">
        <v>62755</v>
      </c>
      <c r="X260" t="s">
        <v>229</v>
      </c>
      <c r="Y260" t="s">
        <v>230</v>
      </c>
      <c r="Z260" t="s">
        <v>89</v>
      </c>
      <c r="AA260">
        <v>1701013095</v>
      </c>
      <c r="AB260" t="s">
        <v>1663</v>
      </c>
      <c r="AC260" s="23">
        <v>43649</v>
      </c>
    </row>
    <row r="261" spans="1:29" hidden="1" x14ac:dyDescent="0.25">
      <c r="A261">
        <v>619</v>
      </c>
      <c r="B261">
        <v>0</v>
      </c>
      <c r="C261" s="32" t="s">
        <v>1664</v>
      </c>
      <c r="D261" s="32" t="s">
        <v>11</v>
      </c>
      <c r="E261" t="s">
        <v>1624</v>
      </c>
      <c r="F261">
        <v>959</v>
      </c>
      <c r="G261" s="33">
        <v>31205</v>
      </c>
      <c r="H261" s="33">
        <v>43452</v>
      </c>
      <c r="I261" s="23">
        <v>43452</v>
      </c>
      <c r="J261" t="s">
        <v>81</v>
      </c>
      <c r="K261" t="s">
        <v>82</v>
      </c>
      <c r="L261" s="32">
        <v>33088511317</v>
      </c>
      <c r="M261" s="32" t="s">
        <v>1665</v>
      </c>
      <c r="N261" s="32" t="s">
        <v>1666</v>
      </c>
      <c r="O261">
        <v>117.6</v>
      </c>
      <c r="P261">
        <v>122.92</v>
      </c>
      <c r="Q261">
        <v>122.92</v>
      </c>
      <c r="R261" s="32">
        <v>19</v>
      </c>
      <c r="S261" s="32" t="s">
        <v>94</v>
      </c>
      <c r="T261" s="32">
        <v>6567813472</v>
      </c>
      <c r="U261" t="s">
        <v>1667</v>
      </c>
      <c r="V261" t="s">
        <v>1668</v>
      </c>
      <c r="W261">
        <v>32575</v>
      </c>
      <c r="X261" t="s">
        <v>117</v>
      </c>
      <c r="Y261" t="s">
        <v>118</v>
      </c>
      <c r="Z261" t="s">
        <v>89</v>
      </c>
      <c r="AA261">
        <v>0</v>
      </c>
      <c r="AB261" t="s">
        <v>1669</v>
      </c>
      <c r="AC261" s="23">
        <v>43962</v>
      </c>
    </row>
    <row r="262" spans="1:29" hidden="1" x14ac:dyDescent="0.25">
      <c r="A262">
        <v>620</v>
      </c>
      <c r="B262">
        <v>0</v>
      </c>
      <c r="C262" s="32" t="s">
        <v>1670</v>
      </c>
      <c r="D262" s="32" t="s">
        <v>11</v>
      </c>
      <c r="E262" t="s">
        <v>1624</v>
      </c>
      <c r="F262">
        <v>961</v>
      </c>
      <c r="G262" s="33">
        <v>31108</v>
      </c>
      <c r="H262" s="33">
        <v>43458</v>
      </c>
      <c r="I262" s="23">
        <v>43458</v>
      </c>
      <c r="J262" t="s">
        <v>81</v>
      </c>
      <c r="K262" t="s">
        <v>82</v>
      </c>
      <c r="L262" s="32">
        <v>30038530918</v>
      </c>
      <c r="M262" s="32" t="s">
        <v>1671</v>
      </c>
      <c r="N262" s="32" t="s">
        <v>1672</v>
      </c>
      <c r="O262">
        <v>117.6</v>
      </c>
      <c r="P262">
        <v>122.92</v>
      </c>
      <c r="Q262">
        <v>122.92</v>
      </c>
      <c r="R262" s="32">
        <v>20</v>
      </c>
      <c r="S262" s="32" t="s">
        <v>94</v>
      </c>
      <c r="T262" s="32"/>
      <c r="U262" t="s">
        <v>1673</v>
      </c>
      <c r="V262" t="s">
        <v>1674</v>
      </c>
      <c r="W262">
        <v>55767</v>
      </c>
      <c r="X262" t="s">
        <v>1551</v>
      </c>
      <c r="Y262" t="s">
        <v>223</v>
      </c>
      <c r="Z262" t="s">
        <v>89</v>
      </c>
      <c r="AA262">
        <v>0</v>
      </c>
      <c r="AB262" t="s">
        <v>1675</v>
      </c>
      <c r="AC262" s="23">
        <v>43867</v>
      </c>
    </row>
    <row r="263" spans="1:29" hidden="1" x14ac:dyDescent="0.25">
      <c r="A263">
        <v>621</v>
      </c>
      <c r="B263">
        <v>0</v>
      </c>
      <c r="C263" s="32" t="s">
        <v>1676</v>
      </c>
      <c r="D263" s="32" t="s">
        <v>11</v>
      </c>
      <c r="E263" t="s">
        <v>1624</v>
      </c>
      <c r="F263">
        <v>963</v>
      </c>
      <c r="G263" s="33">
        <v>27259</v>
      </c>
      <c r="H263" s="33">
        <v>43462</v>
      </c>
      <c r="I263" s="23">
        <v>43462</v>
      </c>
      <c r="J263" t="s">
        <v>81</v>
      </c>
      <c r="K263" t="s">
        <v>82</v>
      </c>
      <c r="L263" s="32">
        <v>1977403433</v>
      </c>
      <c r="M263" s="32" t="s">
        <v>1677</v>
      </c>
      <c r="N263" s="32" t="s">
        <v>1678</v>
      </c>
      <c r="O263">
        <v>117.6</v>
      </c>
      <c r="P263">
        <v>122.92</v>
      </c>
      <c r="Q263">
        <v>122.92</v>
      </c>
      <c r="R263" s="32">
        <v>20</v>
      </c>
      <c r="S263" s="32" t="s">
        <v>94</v>
      </c>
      <c r="T263" s="32">
        <v>5550591677</v>
      </c>
      <c r="U263" t="s">
        <v>1679</v>
      </c>
      <c r="V263" t="s">
        <v>1680</v>
      </c>
      <c r="W263">
        <v>7199</v>
      </c>
      <c r="X263" t="s">
        <v>470</v>
      </c>
      <c r="Y263" t="s">
        <v>471</v>
      </c>
      <c r="Z263" t="s">
        <v>89</v>
      </c>
      <c r="AA263">
        <v>0</v>
      </c>
      <c r="AB263" t="s">
        <v>1681</v>
      </c>
      <c r="AC263" s="23">
        <v>43877</v>
      </c>
    </row>
    <row r="264" spans="1:29" hidden="1" x14ac:dyDescent="0.25">
      <c r="A264">
        <v>622</v>
      </c>
      <c r="B264">
        <v>0</v>
      </c>
      <c r="C264" s="32" t="s">
        <v>1682</v>
      </c>
      <c r="D264" s="32" t="s">
        <v>11</v>
      </c>
      <c r="E264" t="s">
        <v>1624</v>
      </c>
      <c r="F264">
        <v>964</v>
      </c>
      <c r="G264" s="33">
        <v>25876</v>
      </c>
      <c r="H264" s="33">
        <v>43465</v>
      </c>
      <c r="I264" s="23">
        <v>43465</v>
      </c>
      <c r="J264" t="s">
        <v>81</v>
      </c>
      <c r="K264" t="s">
        <v>82</v>
      </c>
      <c r="L264" s="32">
        <v>62896906674</v>
      </c>
      <c r="M264" s="32" t="s">
        <v>1683</v>
      </c>
      <c r="N264" s="32" t="s">
        <v>1684</v>
      </c>
      <c r="O264">
        <v>117.6</v>
      </c>
      <c r="P264">
        <v>122.92</v>
      </c>
      <c r="Q264">
        <v>122.92</v>
      </c>
      <c r="R264" s="32">
        <v>20</v>
      </c>
      <c r="S264" s="32" t="s">
        <v>94</v>
      </c>
      <c r="T264" s="32">
        <v>7821291239</v>
      </c>
      <c r="U264" t="s">
        <v>1685</v>
      </c>
      <c r="V264" t="s">
        <v>1686</v>
      </c>
      <c r="W264">
        <v>93900</v>
      </c>
      <c r="X264" t="s">
        <v>1229</v>
      </c>
      <c r="Y264" t="s">
        <v>98</v>
      </c>
      <c r="Z264" t="s">
        <v>89</v>
      </c>
      <c r="AA264">
        <v>0</v>
      </c>
      <c r="AB264" t="s">
        <v>1687</v>
      </c>
      <c r="AC264" s="23">
        <v>44134</v>
      </c>
    </row>
    <row r="265" spans="1:29" hidden="1" x14ac:dyDescent="0.25">
      <c r="A265">
        <v>623</v>
      </c>
      <c r="B265">
        <v>0</v>
      </c>
      <c r="C265" s="32" t="s">
        <v>1688</v>
      </c>
      <c r="D265" s="32" t="s">
        <v>11</v>
      </c>
      <c r="E265" t="s">
        <v>1624</v>
      </c>
      <c r="F265">
        <v>960</v>
      </c>
      <c r="G265" s="33">
        <v>26576</v>
      </c>
      <c r="H265" s="33">
        <v>43456</v>
      </c>
      <c r="I265" s="23">
        <v>43456</v>
      </c>
      <c r="J265" t="s">
        <v>81</v>
      </c>
      <c r="K265" t="s">
        <v>82</v>
      </c>
      <c r="L265" s="32">
        <v>24887016541</v>
      </c>
      <c r="M265" s="32" t="s">
        <v>1689</v>
      </c>
      <c r="N265" s="32" t="s">
        <v>1690</v>
      </c>
      <c r="O265">
        <v>117.6</v>
      </c>
      <c r="P265">
        <v>122.92</v>
      </c>
      <c r="Q265">
        <v>122.92</v>
      </c>
      <c r="R265" s="32">
        <v>7</v>
      </c>
      <c r="S265" s="32" t="s">
        <v>94</v>
      </c>
      <c r="T265" s="32"/>
      <c r="U265" t="s">
        <v>1691</v>
      </c>
      <c r="V265" t="s">
        <v>1692</v>
      </c>
      <c r="W265">
        <v>83900</v>
      </c>
      <c r="X265" t="s">
        <v>1693</v>
      </c>
      <c r="Y265" t="s">
        <v>161</v>
      </c>
      <c r="Z265" t="s">
        <v>89</v>
      </c>
      <c r="AA265">
        <v>0</v>
      </c>
      <c r="AB265" t="s">
        <v>1694</v>
      </c>
      <c r="AC265" s="23">
        <v>44053</v>
      </c>
    </row>
  </sheetData>
  <autoFilter ref="A1:AC265">
    <filterColumn colId="17">
      <filters>
        <filter val="28"/>
      </filters>
    </filterColumn>
  </autoFilter>
  <conditionalFormatting sqref="M1:M1048576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7"/>
  <sheetViews>
    <sheetView workbookViewId="0">
      <pane xSplit="1" ySplit="1" topLeftCell="N2" activePane="bottomRight" state="frozen"/>
      <selection pane="topRight" activeCell="B1" sqref="B1"/>
      <selection pane="bottomLeft" activeCell="A2" sqref="A2"/>
      <selection pane="bottomRight" activeCell="Y2" sqref="Y2:Y91"/>
    </sheetView>
  </sheetViews>
  <sheetFormatPr baseColWidth="10" defaultRowHeight="15" x14ac:dyDescent="0.25"/>
  <cols>
    <col min="1" max="1" width="13.5703125" bestFit="1" customWidth="1"/>
    <col min="6" max="6" width="20.28515625" bestFit="1" customWidth="1"/>
    <col min="9" max="9" width="23.5703125" bestFit="1" customWidth="1"/>
    <col min="13" max="13" width="18" bestFit="1" customWidth="1"/>
    <col min="16" max="16" width="24.7109375" customWidth="1"/>
    <col min="18" max="18" width="18.42578125" style="30" bestFit="1" customWidth="1"/>
    <col min="22" max="22" width="16.85546875" bestFit="1" customWidth="1"/>
  </cols>
  <sheetData>
    <row r="1" spans="1:25" x14ac:dyDescent="0.25">
      <c r="A1" t="s">
        <v>51</v>
      </c>
      <c r="I1" t="s">
        <v>62</v>
      </c>
      <c r="K1" t="s">
        <v>2309</v>
      </c>
      <c r="M1" t="s">
        <v>61</v>
      </c>
      <c r="N1" t="s">
        <v>2432</v>
      </c>
      <c r="P1" t="s">
        <v>2486</v>
      </c>
      <c r="R1" s="30" t="s">
        <v>2726</v>
      </c>
      <c r="S1" t="s">
        <v>2512</v>
      </c>
      <c r="T1" t="s">
        <v>2728</v>
      </c>
      <c r="V1" t="s">
        <v>76</v>
      </c>
    </row>
    <row r="2" spans="1:25" x14ac:dyDescent="0.25">
      <c r="A2" t="s">
        <v>1695</v>
      </c>
      <c r="B2" t="s">
        <v>1696</v>
      </c>
      <c r="C2" t="s">
        <v>1697</v>
      </c>
      <c r="F2" t="str">
        <f>CONCATENATE(C2," ",D2)</f>
        <v xml:space="preserve">ALBINO </v>
      </c>
      <c r="I2" s="23" t="s">
        <v>83</v>
      </c>
      <c r="K2" t="str">
        <f>MID(I2,11,1)</f>
        <v>H</v>
      </c>
      <c r="M2" t="s">
        <v>2312</v>
      </c>
      <c r="N2">
        <f>LEN(M2)</f>
        <v>13</v>
      </c>
      <c r="P2" s="24" t="s">
        <v>2433</v>
      </c>
      <c r="R2" s="30" t="s">
        <v>2508</v>
      </c>
      <c r="S2" t="s">
        <v>2435</v>
      </c>
      <c r="V2" t="s">
        <v>90</v>
      </c>
      <c r="X2" t="str">
        <f>MID(V2,1,9)</f>
        <v xml:space="preserve">MOR05244 </v>
      </c>
      <c r="Y2" t="str">
        <f>TRIM(X2)</f>
        <v>MOR05244</v>
      </c>
    </row>
    <row r="3" spans="1:25" x14ac:dyDescent="0.25">
      <c r="A3" t="s">
        <v>1698</v>
      </c>
      <c r="B3" t="s">
        <v>1699</v>
      </c>
      <c r="C3" t="s">
        <v>1700</v>
      </c>
      <c r="F3" t="str">
        <f t="shared" ref="F3:F66" si="0">CONCATENATE(C3," ",D3)</f>
        <v xml:space="preserve">ALADINO </v>
      </c>
      <c r="I3" s="23" t="s">
        <v>93</v>
      </c>
      <c r="K3" t="str">
        <f t="shared" ref="K3:K66" si="1">MID(I3,11,1)</f>
        <v>H</v>
      </c>
      <c r="M3" t="s">
        <v>2313</v>
      </c>
      <c r="N3">
        <f t="shared" ref="N3:N66" si="2">LEN(M3)</f>
        <v>13</v>
      </c>
      <c r="P3" s="24" t="s">
        <v>2727</v>
      </c>
      <c r="R3" s="30">
        <v>17</v>
      </c>
      <c r="S3" t="s">
        <v>2438</v>
      </c>
      <c r="V3" t="s">
        <v>99</v>
      </c>
      <c r="X3" t="str">
        <f t="shared" ref="X3:X66" si="3">MID(V3,1,9)</f>
        <v>VER101557</v>
      </c>
      <c r="Y3" t="str">
        <f t="shared" ref="Y3:Y66" si="4">TRIM(X3)</f>
        <v>VER101557</v>
      </c>
    </row>
    <row r="4" spans="1:25" x14ac:dyDescent="0.25">
      <c r="A4" t="s">
        <v>1698</v>
      </c>
      <c r="B4" t="s">
        <v>1701</v>
      </c>
      <c r="C4" t="s">
        <v>1702</v>
      </c>
      <c r="D4" t="s">
        <v>1703</v>
      </c>
      <c r="F4" t="str">
        <f t="shared" si="0"/>
        <v>LUIS ANTONIO</v>
      </c>
      <c r="I4" s="23" t="s">
        <v>101</v>
      </c>
      <c r="K4" t="str">
        <f t="shared" si="1"/>
        <v>H</v>
      </c>
      <c r="M4" t="s">
        <v>2314</v>
      </c>
      <c r="N4">
        <f t="shared" si="2"/>
        <v>13</v>
      </c>
      <c r="P4" s="37" t="s">
        <v>2729</v>
      </c>
      <c r="R4" s="30" t="s">
        <v>2439</v>
      </c>
      <c r="S4">
        <v>7</v>
      </c>
      <c r="V4" t="s">
        <v>106</v>
      </c>
      <c r="X4" t="str">
        <f t="shared" si="3"/>
        <v>VER012293</v>
      </c>
      <c r="Y4" t="str">
        <f t="shared" si="4"/>
        <v>VER012293</v>
      </c>
    </row>
    <row r="5" spans="1:25" x14ac:dyDescent="0.25">
      <c r="A5" t="s">
        <v>1704</v>
      </c>
      <c r="B5" t="s">
        <v>1705</v>
      </c>
      <c r="C5" t="s">
        <v>1706</v>
      </c>
      <c r="D5" t="s">
        <v>1707</v>
      </c>
      <c r="F5" t="str">
        <f t="shared" si="0"/>
        <v>JUAN FRANCISCO</v>
      </c>
      <c r="I5" s="23" t="s">
        <v>108</v>
      </c>
      <c r="K5" t="str">
        <f t="shared" si="1"/>
        <v>H</v>
      </c>
      <c r="M5" t="s">
        <v>2315</v>
      </c>
      <c r="N5">
        <f t="shared" si="2"/>
        <v>13</v>
      </c>
      <c r="P5" s="24" t="s">
        <v>2730</v>
      </c>
      <c r="R5" s="30">
        <v>109</v>
      </c>
      <c r="X5" t="str">
        <f t="shared" si="3"/>
        <v/>
      </c>
      <c r="Y5" t="str">
        <f t="shared" si="4"/>
        <v/>
      </c>
    </row>
    <row r="6" spans="1:25" x14ac:dyDescent="0.25">
      <c r="A6" t="s">
        <v>1708</v>
      </c>
      <c r="B6" t="s">
        <v>1709</v>
      </c>
      <c r="C6" t="s">
        <v>1710</v>
      </c>
      <c r="F6" t="str">
        <f t="shared" si="0"/>
        <v xml:space="preserve">ALEJANDRO </v>
      </c>
      <c r="I6" s="23" t="s">
        <v>114</v>
      </c>
      <c r="K6" t="str">
        <f t="shared" si="1"/>
        <v>H</v>
      </c>
      <c r="M6" t="s">
        <v>2316</v>
      </c>
      <c r="N6">
        <f t="shared" si="2"/>
        <v>13</v>
      </c>
      <c r="P6" s="24" t="s">
        <v>2731</v>
      </c>
      <c r="R6" s="30">
        <v>6171</v>
      </c>
      <c r="S6" s="38"/>
      <c r="X6" t="str">
        <f t="shared" si="3"/>
        <v/>
      </c>
      <c r="Y6" t="str">
        <f t="shared" si="4"/>
        <v/>
      </c>
    </row>
    <row r="7" spans="1:25" x14ac:dyDescent="0.25">
      <c r="A7" t="s">
        <v>1708</v>
      </c>
      <c r="B7" t="s">
        <v>1709</v>
      </c>
      <c r="C7" t="s">
        <v>1711</v>
      </c>
      <c r="F7" t="str">
        <f t="shared" si="0"/>
        <v xml:space="preserve">SERGIO </v>
      </c>
      <c r="I7" s="23" t="s">
        <v>121</v>
      </c>
      <c r="K7" t="str">
        <f t="shared" si="1"/>
        <v>H</v>
      </c>
      <c r="M7" t="s">
        <v>2317</v>
      </c>
      <c r="N7">
        <f t="shared" si="2"/>
        <v>13</v>
      </c>
      <c r="P7" s="24" t="s">
        <v>2732</v>
      </c>
      <c r="R7" s="30" t="s">
        <v>2502</v>
      </c>
      <c r="S7" t="s">
        <v>13</v>
      </c>
      <c r="V7" t="s">
        <v>126</v>
      </c>
      <c r="X7" t="str">
        <f t="shared" si="3"/>
        <v>COAH21516</v>
      </c>
      <c r="Y7" t="str">
        <f t="shared" si="4"/>
        <v>COAH21516</v>
      </c>
    </row>
    <row r="8" spans="1:25" x14ac:dyDescent="0.25">
      <c r="A8" t="s">
        <v>1712</v>
      </c>
      <c r="B8" t="s">
        <v>1713</v>
      </c>
      <c r="C8" t="s">
        <v>1714</v>
      </c>
      <c r="F8" t="str">
        <f t="shared" si="0"/>
        <v xml:space="preserve">ALFONSO </v>
      </c>
      <c r="I8" s="23" t="s">
        <v>128</v>
      </c>
      <c r="K8" t="str">
        <f t="shared" si="1"/>
        <v>H</v>
      </c>
      <c r="M8" t="s">
        <v>2318</v>
      </c>
      <c r="N8">
        <f t="shared" si="2"/>
        <v>13</v>
      </c>
      <c r="P8" s="24" t="s">
        <v>2442</v>
      </c>
      <c r="R8" s="30" t="s">
        <v>13</v>
      </c>
      <c r="X8" t="str">
        <f t="shared" si="3"/>
        <v/>
      </c>
      <c r="Y8" t="str">
        <f t="shared" si="4"/>
        <v/>
      </c>
    </row>
    <row r="9" spans="1:25" x14ac:dyDescent="0.25">
      <c r="A9" t="s">
        <v>1712</v>
      </c>
      <c r="B9" t="s">
        <v>1715</v>
      </c>
      <c r="C9" t="s">
        <v>1716</v>
      </c>
      <c r="F9" t="str">
        <f t="shared" si="0"/>
        <v xml:space="preserve">FERNANDO </v>
      </c>
      <c r="I9" s="23" t="s">
        <v>135</v>
      </c>
      <c r="K9" t="str">
        <f t="shared" si="1"/>
        <v>H</v>
      </c>
      <c r="M9" t="s">
        <v>2319</v>
      </c>
      <c r="N9">
        <f t="shared" si="2"/>
        <v>13</v>
      </c>
      <c r="P9" s="24" t="s">
        <v>2443</v>
      </c>
      <c r="R9" s="30">
        <v>209</v>
      </c>
      <c r="X9" t="str">
        <f t="shared" si="3"/>
        <v/>
      </c>
      <c r="Y9" t="str">
        <f t="shared" si="4"/>
        <v/>
      </c>
    </row>
    <row r="10" spans="1:25" x14ac:dyDescent="0.25">
      <c r="A10" t="s">
        <v>1717</v>
      </c>
      <c r="B10" t="s">
        <v>1718</v>
      </c>
      <c r="C10" t="s">
        <v>1719</v>
      </c>
      <c r="D10" t="s">
        <v>1703</v>
      </c>
      <c r="F10" t="str">
        <f t="shared" si="0"/>
        <v>JAVIER ANTONIO</v>
      </c>
      <c r="I10" s="23" t="s">
        <v>140</v>
      </c>
      <c r="K10" t="str">
        <f t="shared" si="1"/>
        <v>H</v>
      </c>
      <c r="M10" t="s">
        <v>2320</v>
      </c>
      <c r="N10">
        <f t="shared" si="2"/>
        <v>13</v>
      </c>
      <c r="P10" s="24" t="s">
        <v>2444</v>
      </c>
      <c r="R10" s="30">
        <v>98</v>
      </c>
      <c r="V10" t="s">
        <v>146</v>
      </c>
      <c r="X10" t="str">
        <f t="shared" si="3"/>
        <v>PUE000411</v>
      </c>
      <c r="Y10" t="str">
        <f t="shared" si="4"/>
        <v>PUE000411</v>
      </c>
    </row>
    <row r="11" spans="1:25" x14ac:dyDescent="0.25">
      <c r="A11" t="s">
        <v>1720</v>
      </c>
      <c r="B11" t="s">
        <v>1721</v>
      </c>
      <c r="C11" t="s">
        <v>1722</v>
      </c>
      <c r="F11" t="str">
        <f t="shared" si="0"/>
        <v xml:space="preserve">ROSARIO </v>
      </c>
      <c r="I11" s="23" t="s">
        <v>148</v>
      </c>
      <c r="K11" t="str">
        <f t="shared" si="1"/>
        <v>H</v>
      </c>
      <c r="M11" t="s">
        <v>2321</v>
      </c>
      <c r="N11">
        <f t="shared" si="2"/>
        <v>13</v>
      </c>
      <c r="P11" s="24" t="s">
        <v>2733</v>
      </c>
      <c r="R11" s="30">
        <v>2228</v>
      </c>
      <c r="V11" t="s">
        <v>154</v>
      </c>
      <c r="X11" t="str">
        <f t="shared" si="3"/>
        <v>SIN101901</v>
      </c>
      <c r="Y11" t="str">
        <f t="shared" si="4"/>
        <v>SIN101901</v>
      </c>
    </row>
    <row r="12" spans="1:25" x14ac:dyDescent="0.25">
      <c r="A12" t="s">
        <v>1723</v>
      </c>
      <c r="B12" t="s">
        <v>1724</v>
      </c>
      <c r="C12" t="s">
        <v>1725</v>
      </c>
      <c r="F12" t="str">
        <f t="shared" si="0"/>
        <v xml:space="preserve">DAVID </v>
      </c>
      <c r="I12" s="23" t="s">
        <v>156</v>
      </c>
      <c r="K12" t="str">
        <f t="shared" si="1"/>
        <v>H</v>
      </c>
      <c r="M12" t="s">
        <v>2322</v>
      </c>
      <c r="N12">
        <f t="shared" si="2"/>
        <v>13</v>
      </c>
      <c r="P12" s="24" t="s">
        <v>2445</v>
      </c>
      <c r="R12" s="30">
        <v>1029</v>
      </c>
      <c r="X12" t="str">
        <f t="shared" si="3"/>
        <v/>
      </c>
      <c r="Y12" t="str">
        <f t="shared" si="4"/>
        <v/>
      </c>
    </row>
    <row r="13" spans="1:25" x14ac:dyDescent="0.25">
      <c r="A13" t="s">
        <v>1726</v>
      </c>
      <c r="B13" t="s">
        <v>1727</v>
      </c>
      <c r="C13" t="s">
        <v>1728</v>
      </c>
      <c r="D13" t="s">
        <v>1729</v>
      </c>
      <c r="F13" t="str">
        <f t="shared" si="0"/>
        <v>JOSE ANDRES</v>
      </c>
      <c r="I13" s="23" t="s">
        <v>163</v>
      </c>
      <c r="K13" t="str">
        <f t="shared" si="1"/>
        <v>H</v>
      </c>
      <c r="M13" t="s">
        <v>2323</v>
      </c>
      <c r="N13">
        <f t="shared" si="2"/>
        <v>13</v>
      </c>
      <c r="P13" s="24" t="s">
        <v>2446</v>
      </c>
      <c r="R13" s="30" t="s">
        <v>2447</v>
      </c>
      <c r="S13" t="s">
        <v>2448</v>
      </c>
      <c r="V13" t="s">
        <v>168</v>
      </c>
      <c r="X13" t="str">
        <f t="shared" si="3"/>
        <v>VER012089</v>
      </c>
      <c r="Y13" t="str">
        <f t="shared" si="4"/>
        <v>VER012089</v>
      </c>
    </row>
    <row r="14" spans="1:25" x14ac:dyDescent="0.25">
      <c r="A14" t="s">
        <v>1730</v>
      </c>
      <c r="B14" t="s">
        <v>1731</v>
      </c>
      <c r="C14" t="s">
        <v>1732</v>
      </c>
      <c r="F14" t="str">
        <f t="shared" si="0"/>
        <v xml:space="preserve">EDMUNDO </v>
      </c>
      <c r="I14" s="23" t="s">
        <v>170</v>
      </c>
      <c r="K14" t="str">
        <f t="shared" si="1"/>
        <v>H</v>
      </c>
      <c r="M14" t="s">
        <v>2324</v>
      </c>
      <c r="N14">
        <f t="shared" si="2"/>
        <v>13</v>
      </c>
      <c r="P14" s="24" t="s">
        <v>2734</v>
      </c>
      <c r="R14" s="30">
        <v>168</v>
      </c>
      <c r="V14" t="s">
        <v>174</v>
      </c>
      <c r="X14" t="str">
        <f t="shared" si="3"/>
        <v>CHIH10119</v>
      </c>
      <c r="Y14" t="str">
        <f t="shared" si="4"/>
        <v>CHIH10119</v>
      </c>
    </row>
    <row r="15" spans="1:25" x14ac:dyDescent="0.25">
      <c r="A15" t="s">
        <v>1733</v>
      </c>
      <c r="B15" t="s">
        <v>1734</v>
      </c>
      <c r="C15" t="s">
        <v>1735</v>
      </c>
      <c r="F15" t="str">
        <f t="shared" si="0"/>
        <v xml:space="preserve">GERARDO </v>
      </c>
      <c r="I15" s="23" t="s">
        <v>176</v>
      </c>
      <c r="K15" t="str">
        <f t="shared" si="1"/>
        <v>H</v>
      </c>
      <c r="M15" t="s">
        <v>2325</v>
      </c>
      <c r="N15">
        <f t="shared" si="2"/>
        <v>13</v>
      </c>
      <c r="P15" s="24" t="s">
        <v>2735</v>
      </c>
      <c r="R15" s="30" t="s">
        <v>2450</v>
      </c>
      <c r="X15" t="str">
        <f t="shared" si="3"/>
        <v/>
      </c>
      <c r="Y15" t="str">
        <f t="shared" si="4"/>
        <v/>
      </c>
    </row>
    <row r="16" spans="1:25" x14ac:dyDescent="0.25">
      <c r="A16" t="s">
        <v>1733</v>
      </c>
      <c r="B16" t="s">
        <v>1736</v>
      </c>
      <c r="C16" t="s">
        <v>1737</v>
      </c>
      <c r="F16" t="str">
        <f t="shared" si="0"/>
        <v xml:space="preserve">OSCAR </v>
      </c>
      <c r="I16" s="23" t="s">
        <v>183</v>
      </c>
      <c r="K16" t="str">
        <f t="shared" si="1"/>
        <v>H</v>
      </c>
      <c r="M16" t="s">
        <v>2326</v>
      </c>
      <c r="N16">
        <f t="shared" si="2"/>
        <v>13</v>
      </c>
      <c r="P16" s="24" t="s">
        <v>2736</v>
      </c>
      <c r="R16" s="30">
        <v>714</v>
      </c>
      <c r="X16" t="str">
        <f t="shared" si="3"/>
        <v/>
      </c>
      <c r="Y16" t="str">
        <f t="shared" si="4"/>
        <v/>
      </c>
    </row>
    <row r="17" spans="1:25" x14ac:dyDescent="0.25">
      <c r="A17" t="s">
        <v>1738</v>
      </c>
      <c r="B17" t="s">
        <v>1739</v>
      </c>
      <c r="C17" t="s">
        <v>1728</v>
      </c>
      <c r="D17" t="s">
        <v>1740</v>
      </c>
      <c r="F17" t="str">
        <f t="shared" si="0"/>
        <v>JOSE MANUEL</v>
      </c>
      <c r="I17" s="23" t="s">
        <v>188</v>
      </c>
      <c r="K17" t="str">
        <f t="shared" si="1"/>
        <v>H</v>
      </c>
      <c r="M17" t="s">
        <v>2327</v>
      </c>
      <c r="N17">
        <f t="shared" si="2"/>
        <v>13</v>
      </c>
      <c r="P17" s="24" t="s">
        <v>2737</v>
      </c>
      <c r="R17" s="30">
        <v>164</v>
      </c>
      <c r="V17" t="s">
        <v>194</v>
      </c>
      <c r="X17" t="str">
        <f t="shared" si="3"/>
        <v xml:space="preserve">GRO03509 </v>
      </c>
      <c r="Y17" t="str">
        <f t="shared" si="4"/>
        <v>GRO03509</v>
      </c>
    </row>
    <row r="18" spans="1:25" x14ac:dyDescent="0.25">
      <c r="A18" t="s">
        <v>1741</v>
      </c>
      <c r="B18" t="s">
        <v>1713</v>
      </c>
      <c r="C18" t="s">
        <v>1742</v>
      </c>
      <c r="F18" t="str">
        <f t="shared" si="0"/>
        <v xml:space="preserve">IGNACIO </v>
      </c>
      <c r="I18" s="23" t="s">
        <v>196</v>
      </c>
      <c r="K18" t="str">
        <f t="shared" si="1"/>
        <v>H</v>
      </c>
      <c r="M18" t="s">
        <v>2328</v>
      </c>
      <c r="N18">
        <f t="shared" si="2"/>
        <v>13</v>
      </c>
      <c r="P18" s="24" t="s">
        <v>2738</v>
      </c>
      <c r="R18" s="30" t="s">
        <v>2452</v>
      </c>
      <c r="S18" t="s">
        <v>2453</v>
      </c>
      <c r="V18" t="s">
        <v>200</v>
      </c>
      <c r="X18" t="str">
        <f t="shared" si="3"/>
        <v>TAMP30375</v>
      </c>
      <c r="Y18" t="str">
        <f t="shared" si="4"/>
        <v>TAMP30375</v>
      </c>
    </row>
    <row r="19" spans="1:25" x14ac:dyDescent="0.25">
      <c r="A19" t="s">
        <v>1741</v>
      </c>
      <c r="B19" t="s">
        <v>1713</v>
      </c>
      <c r="C19" t="s">
        <v>1706</v>
      </c>
      <c r="D19" t="s">
        <v>1743</v>
      </c>
      <c r="F19" t="str">
        <f t="shared" si="0"/>
        <v>JUAN GABRIEL</v>
      </c>
      <c r="I19" s="23" t="s">
        <v>203</v>
      </c>
      <c r="K19" t="str">
        <f t="shared" si="1"/>
        <v>H</v>
      </c>
      <c r="M19" t="s">
        <v>2329</v>
      </c>
      <c r="N19">
        <f t="shared" si="2"/>
        <v>13</v>
      </c>
      <c r="P19" s="24" t="s">
        <v>2739</v>
      </c>
      <c r="R19" s="30">
        <v>9</v>
      </c>
      <c r="V19" t="s">
        <v>209</v>
      </c>
      <c r="X19" t="str">
        <f t="shared" si="3"/>
        <v>TAMP30431</v>
      </c>
      <c r="Y19" t="str">
        <f t="shared" si="4"/>
        <v>TAMP30431</v>
      </c>
    </row>
    <row r="20" spans="1:25" x14ac:dyDescent="0.25">
      <c r="A20" t="s">
        <v>1741</v>
      </c>
      <c r="B20" t="s">
        <v>1713</v>
      </c>
      <c r="C20" t="s">
        <v>1744</v>
      </c>
      <c r="F20" t="str">
        <f t="shared" si="0"/>
        <v xml:space="preserve">REYES </v>
      </c>
      <c r="I20" s="23" t="s">
        <v>211</v>
      </c>
      <c r="K20" t="str">
        <f t="shared" si="1"/>
        <v>H</v>
      </c>
      <c r="M20" t="s">
        <v>2330</v>
      </c>
      <c r="N20">
        <f t="shared" si="2"/>
        <v>13</v>
      </c>
      <c r="P20" s="24" t="s">
        <v>2738</v>
      </c>
      <c r="R20" s="30" t="s">
        <v>2452</v>
      </c>
      <c r="S20" t="s">
        <v>2453</v>
      </c>
      <c r="V20" t="s">
        <v>214</v>
      </c>
      <c r="X20" t="str">
        <f t="shared" si="3"/>
        <v>VER131153</v>
      </c>
      <c r="Y20" t="str">
        <f t="shared" si="4"/>
        <v>VER131153</v>
      </c>
    </row>
    <row r="21" spans="1:25" x14ac:dyDescent="0.25">
      <c r="A21" t="s">
        <v>1745</v>
      </c>
      <c r="B21" t="s">
        <v>1746</v>
      </c>
      <c r="C21" t="s">
        <v>1747</v>
      </c>
      <c r="D21" t="s">
        <v>1748</v>
      </c>
      <c r="F21" t="str">
        <f t="shared" si="0"/>
        <v>JULIO CESAR</v>
      </c>
      <c r="I21" s="23" t="s">
        <v>216</v>
      </c>
      <c r="K21" t="str">
        <f t="shared" si="1"/>
        <v>H</v>
      </c>
      <c r="M21" t="s">
        <v>2331</v>
      </c>
      <c r="N21">
        <f t="shared" si="2"/>
        <v>13</v>
      </c>
      <c r="P21" s="24" t="s">
        <v>2740</v>
      </c>
      <c r="R21" s="30">
        <v>15516</v>
      </c>
      <c r="X21" t="str">
        <f t="shared" si="3"/>
        <v/>
      </c>
      <c r="Y21" t="str">
        <f t="shared" si="4"/>
        <v/>
      </c>
    </row>
    <row r="22" spans="1:25" x14ac:dyDescent="0.25">
      <c r="A22" t="s">
        <v>1749</v>
      </c>
      <c r="B22" t="s">
        <v>1750</v>
      </c>
      <c r="C22" t="s">
        <v>1751</v>
      </c>
      <c r="F22" t="str">
        <f t="shared" si="0"/>
        <v xml:space="preserve">MARCELO </v>
      </c>
      <c r="I22" s="23" t="s">
        <v>220</v>
      </c>
      <c r="K22" t="str">
        <f t="shared" si="1"/>
        <v>H</v>
      </c>
      <c r="M22" t="s">
        <v>2332</v>
      </c>
      <c r="N22">
        <f t="shared" si="2"/>
        <v>13</v>
      </c>
      <c r="P22" s="24" t="s">
        <v>2456</v>
      </c>
      <c r="R22" s="30" t="s">
        <v>2457</v>
      </c>
      <c r="S22" t="s">
        <v>2458</v>
      </c>
      <c r="V22" t="s">
        <v>224</v>
      </c>
      <c r="X22" t="str">
        <f t="shared" si="3"/>
        <v>DF0011318</v>
      </c>
      <c r="Y22" t="str">
        <f t="shared" si="4"/>
        <v>DF0011318</v>
      </c>
    </row>
    <row r="23" spans="1:25" x14ac:dyDescent="0.25">
      <c r="A23" t="s">
        <v>1752</v>
      </c>
      <c r="B23" t="s">
        <v>1753</v>
      </c>
      <c r="C23" t="s">
        <v>1706</v>
      </c>
      <c r="F23" t="str">
        <f t="shared" si="0"/>
        <v xml:space="preserve">JUAN </v>
      </c>
      <c r="I23" s="23" t="s">
        <v>226</v>
      </c>
      <c r="K23" t="str">
        <f t="shared" si="1"/>
        <v>H</v>
      </c>
      <c r="M23" t="s">
        <v>2333</v>
      </c>
      <c r="N23">
        <f t="shared" si="2"/>
        <v>13</v>
      </c>
      <c r="P23" s="24" t="s">
        <v>2741</v>
      </c>
      <c r="R23" s="30">
        <v>4</v>
      </c>
      <c r="V23" t="s">
        <v>231</v>
      </c>
      <c r="X23" t="str">
        <f t="shared" si="3"/>
        <v xml:space="preserve">MOR01308 </v>
      </c>
      <c r="Y23" t="str">
        <f t="shared" si="4"/>
        <v>MOR01308</v>
      </c>
    </row>
    <row r="24" spans="1:25" x14ac:dyDescent="0.25">
      <c r="A24" t="s">
        <v>1754</v>
      </c>
      <c r="B24" t="s">
        <v>1755</v>
      </c>
      <c r="C24" t="s">
        <v>1756</v>
      </c>
      <c r="F24" t="str">
        <f t="shared" si="0"/>
        <v xml:space="preserve">SALVADOR </v>
      </c>
      <c r="I24" t="s">
        <v>233</v>
      </c>
      <c r="K24" t="str">
        <f t="shared" si="1"/>
        <v>H</v>
      </c>
      <c r="M24" t="s">
        <v>2334</v>
      </c>
      <c r="N24">
        <f t="shared" si="2"/>
        <v>10</v>
      </c>
      <c r="P24" t="s">
        <v>2742</v>
      </c>
      <c r="R24" s="30">
        <v>9524</v>
      </c>
      <c r="X24" t="str">
        <f t="shared" si="3"/>
        <v/>
      </c>
      <c r="Y24" t="str">
        <f t="shared" si="4"/>
        <v/>
      </c>
    </row>
    <row r="25" spans="1:25" x14ac:dyDescent="0.25">
      <c r="A25" t="s">
        <v>1754</v>
      </c>
      <c r="B25" t="s">
        <v>1757</v>
      </c>
      <c r="C25" t="s">
        <v>1758</v>
      </c>
      <c r="F25" t="str">
        <f t="shared" si="0"/>
        <v xml:space="preserve">RICARDO </v>
      </c>
      <c r="I25" t="s">
        <v>237</v>
      </c>
      <c r="K25" t="str">
        <f t="shared" si="1"/>
        <v>H</v>
      </c>
      <c r="M25" t="s">
        <v>2335</v>
      </c>
      <c r="N25">
        <f t="shared" si="2"/>
        <v>13</v>
      </c>
      <c r="P25" t="s">
        <v>2743</v>
      </c>
      <c r="R25" s="30" t="s">
        <v>2462</v>
      </c>
      <c r="S25" t="s">
        <v>2463</v>
      </c>
      <c r="V25" t="s">
        <v>241</v>
      </c>
      <c r="X25" t="str">
        <f t="shared" si="3"/>
        <v>DF0021465</v>
      </c>
      <c r="Y25" t="str">
        <f t="shared" si="4"/>
        <v>DF0021465</v>
      </c>
    </row>
    <row r="26" spans="1:25" x14ac:dyDescent="0.25">
      <c r="A26" t="s">
        <v>1759</v>
      </c>
      <c r="B26" t="s">
        <v>1760</v>
      </c>
      <c r="C26" t="s">
        <v>1761</v>
      </c>
      <c r="D26" t="s">
        <v>1762</v>
      </c>
      <c r="F26" t="str">
        <f t="shared" si="0"/>
        <v>RAMON ARTURO</v>
      </c>
      <c r="I26" t="s">
        <v>243</v>
      </c>
      <c r="K26" t="str">
        <f t="shared" si="1"/>
        <v>H</v>
      </c>
      <c r="M26" t="s">
        <v>2336</v>
      </c>
      <c r="N26">
        <f t="shared" si="2"/>
        <v>13</v>
      </c>
      <c r="P26" t="s">
        <v>2744</v>
      </c>
      <c r="R26" s="30">
        <v>6196</v>
      </c>
      <c r="S26" s="39">
        <v>16</v>
      </c>
      <c r="V26" t="s">
        <v>246</v>
      </c>
      <c r="X26" t="str">
        <f t="shared" si="3"/>
        <v>SON000589</v>
      </c>
      <c r="Y26" t="str">
        <f t="shared" si="4"/>
        <v>SON000589</v>
      </c>
    </row>
    <row r="27" spans="1:25" x14ac:dyDescent="0.25">
      <c r="A27" t="s">
        <v>1699</v>
      </c>
      <c r="B27" t="s">
        <v>1763</v>
      </c>
      <c r="C27" t="s">
        <v>1764</v>
      </c>
      <c r="F27" t="str">
        <f t="shared" si="0"/>
        <v xml:space="preserve">MAURICIO </v>
      </c>
      <c r="I27" t="s">
        <v>248</v>
      </c>
      <c r="K27" t="str">
        <f t="shared" si="1"/>
        <v>H</v>
      </c>
      <c r="M27" t="s">
        <v>2337</v>
      </c>
      <c r="N27">
        <f t="shared" si="2"/>
        <v>13</v>
      </c>
      <c r="P27" t="s">
        <v>2745</v>
      </c>
      <c r="R27" s="30" t="s">
        <v>2746</v>
      </c>
      <c r="S27" t="s">
        <v>2499</v>
      </c>
      <c r="X27" t="str">
        <f t="shared" si="3"/>
        <v/>
      </c>
      <c r="Y27" t="str">
        <f t="shared" si="4"/>
        <v/>
      </c>
    </row>
    <row r="28" spans="1:25" x14ac:dyDescent="0.25">
      <c r="A28" t="s">
        <v>1739</v>
      </c>
      <c r="B28" t="s">
        <v>1765</v>
      </c>
      <c r="C28" t="s">
        <v>1706</v>
      </c>
      <c r="D28" t="s">
        <v>1710</v>
      </c>
      <c r="F28" t="str">
        <f t="shared" si="0"/>
        <v>JUAN ALEJANDRO</v>
      </c>
      <c r="I28" t="s">
        <v>253</v>
      </c>
      <c r="K28" t="str">
        <f t="shared" si="1"/>
        <v>H</v>
      </c>
      <c r="M28" t="s">
        <v>2338</v>
      </c>
      <c r="N28">
        <f t="shared" si="2"/>
        <v>13</v>
      </c>
      <c r="P28" t="s">
        <v>2747</v>
      </c>
      <c r="R28" s="30">
        <v>7630</v>
      </c>
      <c r="X28" t="str">
        <f t="shared" si="3"/>
        <v/>
      </c>
      <c r="Y28" t="str">
        <f t="shared" si="4"/>
        <v/>
      </c>
    </row>
    <row r="29" spans="1:25" x14ac:dyDescent="0.25">
      <c r="A29" t="s">
        <v>1766</v>
      </c>
      <c r="B29" t="s">
        <v>1767</v>
      </c>
      <c r="C29" t="s">
        <v>1728</v>
      </c>
      <c r="D29" t="s">
        <v>1768</v>
      </c>
      <c r="F29" t="str">
        <f t="shared" si="0"/>
        <v>JOSE GONZALO</v>
      </c>
      <c r="I29" t="s">
        <v>257</v>
      </c>
      <c r="K29" t="str">
        <f t="shared" si="1"/>
        <v>H</v>
      </c>
      <c r="M29" t="s">
        <v>2339</v>
      </c>
      <c r="N29">
        <f t="shared" si="2"/>
        <v>10</v>
      </c>
      <c r="P29" t="s">
        <v>2748</v>
      </c>
      <c r="R29" s="30">
        <v>2164</v>
      </c>
      <c r="X29" t="str">
        <f t="shared" si="3"/>
        <v/>
      </c>
      <c r="Y29" t="str">
        <f t="shared" si="4"/>
        <v/>
      </c>
    </row>
    <row r="30" spans="1:25" x14ac:dyDescent="0.25">
      <c r="A30" t="s">
        <v>1769</v>
      </c>
      <c r="B30" t="s">
        <v>1770</v>
      </c>
      <c r="C30" t="s">
        <v>1771</v>
      </c>
      <c r="D30" t="s">
        <v>1772</v>
      </c>
      <c r="F30" t="str">
        <f t="shared" si="0"/>
        <v>FELIX PATRICIO</v>
      </c>
      <c r="I30" t="s">
        <v>263</v>
      </c>
      <c r="K30" t="str">
        <f t="shared" si="1"/>
        <v>H</v>
      </c>
      <c r="M30" t="s">
        <v>262</v>
      </c>
      <c r="N30">
        <f t="shared" si="2"/>
        <v>13</v>
      </c>
      <c r="P30" t="s">
        <v>2749</v>
      </c>
      <c r="R30" s="30">
        <v>102</v>
      </c>
      <c r="X30" t="str">
        <f t="shared" si="3"/>
        <v/>
      </c>
      <c r="Y30" t="str">
        <f t="shared" si="4"/>
        <v/>
      </c>
    </row>
    <row r="31" spans="1:25" x14ac:dyDescent="0.25">
      <c r="A31" t="s">
        <v>1773</v>
      </c>
      <c r="B31" t="s">
        <v>1741</v>
      </c>
      <c r="C31" t="s">
        <v>1774</v>
      </c>
      <c r="F31" t="str">
        <f t="shared" si="0"/>
        <v xml:space="preserve">MARTIN </v>
      </c>
      <c r="I31" t="s">
        <v>268</v>
      </c>
      <c r="K31" t="str">
        <f t="shared" si="1"/>
        <v>H</v>
      </c>
      <c r="M31" t="s">
        <v>2340</v>
      </c>
      <c r="N31">
        <f t="shared" si="2"/>
        <v>13</v>
      </c>
      <c r="P31" t="s">
        <v>2468</v>
      </c>
      <c r="R31" s="30" t="s">
        <v>2751</v>
      </c>
      <c r="S31" t="s">
        <v>2750</v>
      </c>
      <c r="T31" t="s">
        <v>2752</v>
      </c>
      <c r="X31" t="str">
        <f t="shared" si="3"/>
        <v/>
      </c>
      <c r="Y31" t="str">
        <f t="shared" si="4"/>
        <v/>
      </c>
    </row>
    <row r="32" spans="1:25" x14ac:dyDescent="0.25">
      <c r="A32" t="s">
        <v>1773</v>
      </c>
      <c r="B32" t="s">
        <v>1775</v>
      </c>
      <c r="C32" t="s">
        <v>1758</v>
      </c>
      <c r="D32" t="s">
        <v>1710</v>
      </c>
      <c r="F32" t="str">
        <f t="shared" si="0"/>
        <v>RICARDO ALEJANDRO</v>
      </c>
      <c r="I32" t="s">
        <v>274</v>
      </c>
      <c r="K32" t="str">
        <f t="shared" si="1"/>
        <v>H</v>
      </c>
      <c r="M32" t="s">
        <v>273</v>
      </c>
      <c r="N32">
        <f t="shared" si="2"/>
        <v>13</v>
      </c>
      <c r="P32" t="s">
        <v>2753</v>
      </c>
      <c r="R32" s="30">
        <v>8836</v>
      </c>
      <c r="X32" t="str">
        <f t="shared" si="3"/>
        <v/>
      </c>
      <c r="Y32" t="str">
        <f t="shared" si="4"/>
        <v/>
      </c>
    </row>
    <row r="33" spans="1:25" x14ac:dyDescent="0.25">
      <c r="A33" t="s">
        <v>1773</v>
      </c>
      <c r="B33" t="s">
        <v>1757</v>
      </c>
      <c r="C33" t="s">
        <v>1776</v>
      </c>
      <c r="F33" t="str">
        <f t="shared" si="0"/>
        <v xml:space="preserve">RODRIGO </v>
      </c>
      <c r="I33" t="s">
        <v>279</v>
      </c>
      <c r="K33" t="str">
        <f t="shared" si="1"/>
        <v>H</v>
      </c>
      <c r="M33" t="s">
        <v>2341</v>
      </c>
      <c r="N33">
        <f t="shared" si="2"/>
        <v>10</v>
      </c>
      <c r="P33" t="s">
        <v>2754</v>
      </c>
      <c r="R33" s="30">
        <v>10</v>
      </c>
      <c r="V33" t="s">
        <v>283</v>
      </c>
      <c r="X33" t="str">
        <f t="shared" si="3"/>
        <v>BCS000434</v>
      </c>
      <c r="Y33" t="str">
        <f t="shared" si="4"/>
        <v>BCS000434</v>
      </c>
    </row>
    <row r="34" spans="1:25" x14ac:dyDescent="0.25">
      <c r="A34" t="s">
        <v>1777</v>
      </c>
      <c r="B34" t="s">
        <v>1778</v>
      </c>
      <c r="C34" t="s">
        <v>1779</v>
      </c>
      <c r="F34" t="str">
        <f t="shared" si="0"/>
        <v xml:space="preserve">RAYMUNDO </v>
      </c>
      <c r="I34" t="s">
        <v>285</v>
      </c>
      <c r="K34" t="str">
        <f t="shared" si="1"/>
        <v>H</v>
      </c>
      <c r="M34" t="s">
        <v>2342</v>
      </c>
      <c r="N34">
        <f t="shared" si="2"/>
        <v>13</v>
      </c>
      <c r="P34" t="s">
        <v>2755</v>
      </c>
      <c r="R34" s="30">
        <v>544</v>
      </c>
      <c r="V34" t="s">
        <v>290</v>
      </c>
      <c r="X34" t="str">
        <f t="shared" si="3"/>
        <v>SIN100582</v>
      </c>
      <c r="Y34" t="str">
        <f t="shared" si="4"/>
        <v>SIN100582</v>
      </c>
    </row>
    <row r="35" spans="1:25" x14ac:dyDescent="0.25">
      <c r="A35" t="s">
        <v>1767</v>
      </c>
      <c r="B35" t="s">
        <v>1754</v>
      </c>
      <c r="C35" t="s">
        <v>1780</v>
      </c>
      <c r="F35" t="str">
        <f t="shared" si="0"/>
        <v xml:space="preserve">ISIDRO </v>
      </c>
      <c r="I35" t="s">
        <v>292</v>
      </c>
      <c r="K35" t="str">
        <f t="shared" si="1"/>
        <v>H</v>
      </c>
      <c r="M35" t="s">
        <v>2343</v>
      </c>
      <c r="N35">
        <f t="shared" si="2"/>
        <v>13</v>
      </c>
      <c r="P35" t="s">
        <v>2756</v>
      </c>
      <c r="R35" s="30">
        <v>219</v>
      </c>
      <c r="X35" t="str">
        <f t="shared" si="3"/>
        <v/>
      </c>
      <c r="Y35" t="str">
        <f t="shared" si="4"/>
        <v/>
      </c>
    </row>
    <row r="36" spans="1:25" x14ac:dyDescent="0.25">
      <c r="A36" t="s">
        <v>193</v>
      </c>
      <c r="B36" t="s">
        <v>1781</v>
      </c>
      <c r="C36" t="s">
        <v>1782</v>
      </c>
      <c r="F36" t="str">
        <f t="shared" si="0"/>
        <v xml:space="preserve">VICTOR </v>
      </c>
      <c r="I36" t="s">
        <v>296</v>
      </c>
      <c r="K36" t="str">
        <f t="shared" si="1"/>
        <v>H</v>
      </c>
      <c r="M36" t="s">
        <v>2344</v>
      </c>
      <c r="N36">
        <f t="shared" si="2"/>
        <v>13</v>
      </c>
      <c r="P36" t="s">
        <v>1322</v>
      </c>
      <c r="R36" s="30" t="s">
        <v>13</v>
      </c>
      <c r="V36" t="s">
        <v>300</v>
      </c>
      <c r="X36" t="str">
        <f t="shared" si="3"/>
        <v>MOR000512</v>
      </c>
      <c r="Y36" t="str">
        <f t="shared" si="4"/>
        <v>MOR000512</v>
      </c>
    </row>
    <row r="37" spans="1:25" x14ac:dyDescent="0.25">
      <c r="A37" t="s">
        <v>1783</v>
      </c>
      <c r="B37" t="s">
        <v>1699</v>
      </c>
      <c r="C37" t="s">
        <v>1784</v>
      </c>
      <c r="D37" t="s">
        <v>1785</v>
      </c>
      <c r="F37" t="str">
        <f t="shared" si="0"/>
        <v>JESUS REFUGIO</v>
      </c>
      <c r="I37" t="s">
        <v>302</v>
      </c>
      <c r="K37" t="str">
        <f t="shared" si="1"/>
        <v>H</v>
      </c>
      <c r="M37" t="s">
        <v>2345</v>
      </c>
      <c r="N37">
        <f t="shared" si="2"/>
        <v>13</v>
      </c>
      <c r="P37" t="s">
        <v>2757</v>
      </c>
      <c r="R37" s="30">
        <v>28</v>
      </c>
      <c r="X37" t="str">
        <f t="shared" si="3"/>
        <v/>
      </c>
      <c r="Y37" t="str">
        <f t="shared" si="4"/>
        <v/>
      </c>
    </row>
    <row r="38" spans="1:25" x14ac:dyDescent="0.25">
      <c r="A38" t="s">
        <v>1783</v>
      </c>
      <c r="B38" t="s">
        <v>1786</v>
      </c>
      <c r="C38" t="s">
        <v>1740</v>
      </c>
      <c r="F38" t="str">
        <f t="shared" si="0"/>
        <v xml:space="preserve">MANUEL </v>
      </c>
      <c r="I38" t="s">
        <v>306</v>
      </c>
      <c r="K38" t="str">
        <f t="shared" si="1"/>
        <v>H</v>
      </c>
      <c r="M38" t="s">
        <v>2346</v>
      </c>
      <c r="N38">
        <f t="shared" si="2"/>
        <v>13</v>
      </c>
      <c r="P38" t="s">
        <v>2758</v>
      </c>
      <c r="R38" s="30">
        <v>10</v>
      </c>
      <c r="V38" t="s">
        <v>311</v>
      </c>
      <c r="X38" t="str">
        <f t="shared" si="3"/>
        <v>TAMP30271</v>
      </c>
      <c r="Y38" t="str">
        <f t="shared" si="4"/>
        <v>TAMP30271</v>
      </c>
    </row>
    <row r="39" spans="1:25" x14ac:dyDescent="0.25">
      <c r="A39" t="s">
        <v>1713</v>
      </c>
      <c r="B39" t="s">
        <v>1787</v>
      </c>
      <c r="C39" t="s">
        <v>1788</v>
      </c>
      <c r="F39" t="str">
        <f t="shared" si="0"/>
        <v xml:space="preserve">JERMAN </v>
      </c>
      <c r="I39" t="s">
        <v>313</v>
      </c>
      <c r="K39" t="str">
        <f t="shared" si="1"/>
        <v>H</v>
      </c>
      <c r="M39" t="s">
        <v>2347</v>
      </c>
      <c r="N39">
        <f t="shared" si="2"/>
        <v>13</v>
      </c>
      <c r="P39" t="s">
        <v>191</v>
      </c>
      <c r="R39" s="30" t="s">
        <v>13</v>
      </c>
      <c r="X39" t="str">
        <f t="shared" si="3"/>
        <v/>
      </c>
      <c r="Y39" t="str">
        <f t="shared" si="4"/>
        <v/>
      </c>
    </row>
    <row r="40" spans="1:25" x14ac:dyDescent="0.25">
      <c r="A40" t="s">
        <v>1713</v>
      </c>
      <c r="B40" t="s">
        <v>1789</v>
      </c>
      <c r="C40" t="s">
        <v>1790</v>
      </c>
      <c r="D40" t="s">
        <v>1791</v>
      </c>
      <c r="F40" t="str">
        <f t="shared" si="0"/>
        <v>ROBERTO CARLOS</v>
      </c>
      <c r="I40" t="s">
        <v>318</v>
      </c>
      <c r="K40" t="str">
        <f t="shared" si="1"/>
        <v>H</v>
      </c>
      <c r="M40" t="s">
        <v>2348</v>
      </c>
      <c r="N40">
        <f t="shared" si="2"/>
        <v>10</v>
      </c>
      <c r="P40" t="s">
        <v>2759</v>
      </c>
      <c r="R40" s="30" t="s">
        <v>13</v>
      </c>
      <c r="V40" t="s">
        <v>323</v>
      </c>
      <c r="X40" t="str">
        <f t="shared" si="3"/>
        <v>DF0015641</v>
      </c>
      <c r="Y40" t="str">
        <f t="shared" si="4"/>
        <v>DF0015641</v>
      </c>
    </row>
    <row r="41" spans="1:25" x14ac:dyDescent="0.25">
      <c r="A41" t="s">
        <v>1792</v>
      </c>
      <c r="B41" t="s">
        <v>1793</v>
      </c>
      <c r="C41" t="s">
        <v>1794</v>
      </c>
      <c r="F41" t="str">
        <f t="shared" si="0"/>
        <v xml:space="preserve">ARNULFO </v>
      </c>
      <c r="I41" t="s">
        <v>325</v>
      </c>
      <c r="K41" t="str">
        <f t="shared" si="1"/>
        <v>H</v>
      </c>
      <c r="M41" t="s">
        <v>2349</v>
      </c>
      <c r="N41">
        <f t="shared" si="2"/>
        <v>13</v>
      </c>
      <c r="P41" t="s">
        <v>2475</v>
      </c>
      <c r="R41" s="30">
        <v>9013</v>
      </c>
      <c r="X41" t="str">
        <f t="shared" si="3"/>
        <v/>
      </c>
      <c r="Y41" t="str">
        <f t="shared" si="4"/>
        <v/>
      </c>
    </row>
    <row r="42" spans="1:25" x14ac:dyDescent="0.25">
      <c r="A42" t="s">
        <v>1795</v>
      </c>
      <c r="B42" t="s">
        <v>1745</v>
      </c>
      <c r="C42" t="s">
        <v>1796</v>
      </c>
      <c r="F42" t="str">
        <f t="shared" si="0"/>
        <v xml:space="preserve">MARGARITO </v>
      </c>
      <c r="I42" t="s">
        <v>329</v>
      </c>
      <c r="K42" t="str">
        <f t="shared" si="1"/>
        <v>H</v>
      </c>
      <c r="M42" t="s">
        <v>2350</v>
      </c>
      <c r="N42">
        <f t="shared" si="2"/>
        <v>13</v>
      </c>
      <c r="P42" t="s">
        <v>331</v>
      </c>
      <c r="R42" s="30" t="s">
        <v>13</v>
      </c>
      <c r="V42" t="s">
        <v>334</v>
      </c>
      <c r="X42" t="str">
        <f t="shared" si="3"/>
        <v xml:space="preserve">DF118520 </v>
      </c>
      <c r="Y42" t="str">
        <f t="shared" si="4"/>
        <v>DF118520</v>
      </c>
    </row>
    <row r="43" spans="1:25" x14ac:dyDescent="0.25">
      <c r="A43" t="s">
        <v>1701</v>
      </c>
      <c r="B43" t="s">
        <v>1765</v>
      </c>
      <c r="C43" t="s">
        <v>1797</v>
      </c>
      <c r="F43" t="str">
        <f t="shared" si="0"/>
        <v xml:space="preserve">ENRIQUE </v>
      </c>
      <c r="I43" t="s">
        <v>336</v>
      </c>
      <c r="K43" t="str">
        <f t="shared" si="1"/>
        <v>H</v>
      </c>
      <c r="M43" t="s">
        <v>2351</v>
      </c>
      <c r="N43">
        <f t="shared" si="2"/>
        <v>13</v>
      </c>
      <c r="P43" t="s">
        <v>2760</v>
      </c>
      <c r="R43" s="30">
        <v>187</v>
      </c>
      <c r="X43" t="str">
        <f t="shared" si="3"/>
        <v/>
      </c>
      <c r="Y43" t="str">
        <f t="shared" si="4"/>
        <v/>
      </c>
    </row>
    <row r="44" spans="1:25" x14ac:dyDescent="0.25">
      <c r="A44" t="s">
        <v>1701</v>
      </c>
      <c r="B44" t="s">
        <v>1765</v>
      </c>
      <c r="C44" t="s">
        <v>1706</v>
      </c>
      <c r="D44" t="s">
        <v>1728</v>
      </c>
      <c r="F44" t="str">
        <f t="shared" si="0"/>
        <v>JUAN JOSE</v>
      </c>
      <c r="I44" t="s">
        <v>341</v>
      </c>
      <c r="K44" t="str">
        <f t="shared" si="1"/>
        <v>H</v>
      </c>
      <c r="M44" t="s">
        <v>2352</v>
      </c>
      <c r="N44">
        <f t="shared" si="2"/>
        <v>13</v>
      </c>
      <c r="P44" t="s">
        <v>1322</v>
      </c>
      <c r="R44" s="30">
        <v>115</v>
      </c>
      <c r="X44" t="str">
        <f t="shared" si="3"/>
        <v/>
      </c>
      <c r="Y44" t="str">
        <f t="shared" si="4"/>
        <v/>
      </c>
    </row>
    <row r="45" spans="1:25" x14ac:dyDescent="0.25">
      <c r="A45" t="s">
        <v>1701</v>
      </c>
      <c r="B45" t="s">
        <v>1765</v>
      </c>
      <c r="C45" t="s">
        <v>1798</v>
      </c>
      <c r="F45" t="str">
        <f t="shared" si="0"/>
        <v xml:space="preserve">MARIANO </v>
      </c>
      <c r="I45" t="s">
        <v>346</v>
      </c>
      <c r="K45" t="str">
        <f t="shared" si="1"/>
        <v>H</v>
      </c>
      <c r="M45" t="s">
        <v>2353</v>
      </c>
      <c r="N45">
        <f t="shared" si="2"/>
        <v>13</v>
      </c>
      <c r="P45" t="s">
        <v>2761</v>
      </c>
      <c r="R45" s="30">
        <v>31</v>
      </c>
      <c r="S45" t="s">
        <v>2477</v>
      </c>
      <c r="V45" t="s">
        <v>350</v>
      </c>
      <c r="X45" t="str">
        <f t="shared" si="3"/>
        <v>VER106170</v>
      </c>
      <c r="Y45" t="str">
        <f t="shared" si="4"/>
        <v>VER106170</v>
      </c>
    </row>
    <row r="46" spans="1:25" x14ac:dyDescent="0.25">
      <c r="A46" t="s">
        <v>1799</v>
      </c>
      <c r="B46" t="s">
        <v>1800</v>
      </c>
      <c r="C46" t="s">
        <v>1801</v>
      </c>
      <c r="D46" t="s">
        <v>1802</v>
      </c>
      <c r="F46" t="str">
        <f t="shared" si="0"/>
        <v>JORGE ALBERTO</v>
      </c>
      <c r="I46" t="s">
        <v>352</v>
      </c>
      <c r="K46" t="str">
        <f t="shared" si="1"/>
        <v>H</v>
      </c>
      <c r="M46" t="s">
        <v>2354</v>
      </c>
      <c r="N46">
        <f t="shared" si="2"/>
        <v>13</v>
      </c>
      <c r="P46" t="s">
        <v>2762</v>
      </c>
      <c r="R46" s="30">
        <v>6951</v>
      </c>
      <c r="V46" t="s">
        <v>356</v>
      </c>
      <c r="X46" t="str">
        <f t="shared" si="3"/>
        <v>CHIH10355</v>
      </c>
      <c r="Y46" t="str">
        <f t="shared" si="4"/>
        <v>CHIH10355</v>
      </c>
    </row>
    <row r="47" spans="1:25" x14ac:dyDescent="0.25">
      <c r="A47" t="s">
        <v>1803</v>
      </c>
      <c r="B47" t="s">
        <v>1773</v>
      </c>
      <c r="C47" t="s">
        <v>1804</v>
      </c>
      <c r="F47" t="str">
        <f t="shared" si="0"/>
        <v xml:space="preserve">EDUARDO </v>
      </c>
      <c r="I47" t="s">
        <v>358</v>
      </c>
      <c r="K47" t="str">
        <f t="shared" si="1"/>
        <v>H</v>
      </c>
      <c r="M47" t="s">
        <v>2355</v>
      </c>
      <c r="N47">
        <f t="shared" si="2"/>
        <v>13</v>
      </c>
      <c r="P47" t="s">
        <v>2763</v>
      </c>
      <c r="R47" s="30" t="s">
        <v>2478</v>
      </c>
      <c r="V47" t="s">
        <v>361</v>
      </c>
      <c r="X47" t="str">
        <f t="shared" si="3"/>
        <v>DF0015636</v>
      </c>
      <c r="Y47" t="str">
        <f t="shared" si="4"/>
        <v>DF0015636</v>
      </c>
    </row>
    <row r="48" spans="1:25" x14ac:dyDescent="0.25">
      <c r="A48" t="s">
        <v>1765</v>
      </c>
      <c r="B48" t="s">
        <v>1805</v>
      </c>
      <c r="C48" t="s">
        <v>1728</v>
      </c>
      <c r="D48" t="s">
        <v>1797</v>
      </c>
      <c r="F48" t="str">
        <f t="shared" si="0"/>
        <v>JOSE ENRIQUE</v>
      </c>
      <c r="I48" t="s">
        <v>363</v>
      </c>
      <c r="K48" t="str">
        <f t="shared" si="1"/>
        <v>H</v>
      </c>
      <c r="M48" t="s">
        <v>2356</v>
      </c>
      <c r="N48">
        <f t="shared" si="2"/>
        <v>13</v>
      </c>
      <c r="P48" t="s">
        <v>2764</v>
      </c>
      <c r="R48" s="30" t="s">
        <v>2479</v>
      </c>
      <c r="S48" t="s">
        <v>2480</v>
      </c>
      <c r="V48" t="s">
        <v>368</v>
      </c>
      <c r="X48" t="str">
        <f t="shared" si="3"/>
        <v>DF0010340</v>
      </c>
      <c r="Y48" t="str">
        <f t="shared" si="4"/>
        <v>DF0010340</v>
      </c>
    </row>
    <row r="49" spans="1:25" x14ac:dyDescent="0.25">
      <c r="A49" t="s">
        <v>1765</v>
      </c>
      <c r="B49" t="s">
        <v>1806</v>
      </c>
      <c r="C49" t="s">
        <v>1801</v>
      </c>
      <c r="F49" t="str">
        <f t="shared" si="0"/>
        <v xml:space="preserve">JORGE </v>
      </c>
      <c r="I49" t="s">
        <v>370</v>
      </c>
      <c r="K49" t="str">
        <f t="shared" si="1"/>
        <v>H</v>
      </c>
      <c r="M49" t="s">
        <v>2357</v>
      </c>
      <c r="N49">
        <f t="shared" si="2"/>
        <v>13</v>
      </c>
      <c r="P49" t="s">
        <v>2765</v>
      </c>
      <c r="S49" t="s">
        <v>2485</v>
      </c>
      <c r="X49" t="str">
        <f t="shared" si="3"/>
        <v/>
      </c>
      <c r="Y49" t="str">
        <f t="shared" si="4"/>
        <v/>
      </c>
    </row>
    <row r="50" spans="1:25" x14ac:dyDescent="0.25">
      <c r="A50" t="s">
        <v>1765</v>
      </c>
      <c r="B50" t="s">
        <v>1724</v>
      </c>
      <c r="C50" t="s">
        <v>1728</v>
      </c>
      <c r="D50" t="s">
        <v>1737</v>
      </c>
      <c r="E50" t="s">
        <v>1807</v>
      </c>
      <c r="F50" t="str">
        <f t="shared" si="0"/>
        <v>JOSE OSCAR</v>
      </c>
      <c r="I50" t="s">
        <v>375</v>
      </c>
      <c r="K50" t="str">
        <f t="shared" si="1"/>
        <v>H</v>
      </c>
      <c r="M50" t="s">
        <v>2358</v>
      </c>
      <c r="N50">
        <f t="shared" si="2"/>
        <v>13</v>
      </c>
      <c r="P50" t="s">
        <v>2766</v>
      </c>
      <c r="R50" s="30">
        <v>3114</v>
      </c>
      <c r="V50" t="s">
        <v>379</v>
      </c>
      <c r="X50" t="str">
        <f t="shared" si="3"/>
        <v>CHIH20269</v>
      </c>
      <c r="Y50" t="str">
        <f t="shared" si="4"/>
        <v>CHIH20269</v>
      </c>
    </row>
    <row r="51" spans="1:25" x14ac:dyDescent="0.25">
      <c r="A51" t="s">
        <v>1765</v>
      </c>
      <c r="B51" t="s">
        <v>1731</v>
      </c>
      <c r="C51" t="s">
        <v>1808</v>
      </c>
      <c r="F51" t="str">
        <f t="shared" si="0"/>
        <v xml:space="preserve">HERIBERTO </v>
      </c>
      <c r="I51" t="s">
        <v>382</v>
      </c>
      <c r="K51" t="str">
        <f t="shared" si="1"/>
        <v>H</v>
      </c>
      <c r="M51" t="s">
        <v>381</v>
      </c>
      <c r="N51">
        <f t="shared" si="2"/>
        <v>13</v>
      </c>
      <c r="P51" t="s">
        <v>2767</v>
      </c>
      <c r="R51" s="30" t="s">
        <v>13</v>
      </c>
      <c r="V51" t="s">
        <v>385</v>
      </c>
      <c r="X51" t="str">
        <f t="shared" si="3"/>
        <v>DF0023123</v>
      </c>
      <c r="Y51" t="str">
        <f t="shared" si="4"/>
        <v>DF0023123</v>
      </c>
    </row>
    <row r="52" spans="1:25" x14ac:dyDescent="0.25">
      <c r="A52" t="s">
        <v>1809</v>
      </c>
      <c r="B52" t="s">
        <v>1810</v>
      </c>
      <c r="C52" t="s">
        <v>1707</v>
      </c>
      <c r="D52" t="s">
        <v>1719</v>
      </c>
      <c r="F52" t="str">
        <f t="shared" si="0"/>
        <v>FRANCISCO JAVIER</v>
      </c>
      <c r="I52" t="s">
        <v>387</v>
      </c>
      <c r="K52" t="str">
        <f t="shared" si="1"/>
        <v>H</v>
      </c>
      <c r="M52" t="s">
        <v>2359</v>
      </c>
      <c r="N52">
        <f t="shared" si="2"/>
        <v>13</v>
      </c>
      <c r="P52" t="s">
        <v>2768</v>
      </c>
      <c r="R52" s="30">
        <v>641</v>
      </c>
      <c r="V52" t="s">
        <v>393</v>
      </c>
      <c r="X52" t="str">
        <f t="shared" si="3"/>
        <v>CAMP01059</v>
      </c>
      <c r="Y52" t="str">
        <f t="shared" si="4"/>
        <v>CAMP01059</v>
      </c>
    </row>
    <row r="53" spans="1:25" x14ac:dyDescent="0.25">
      <c r="A53" t="s">
        <v>1811</v>
      </c>
      <c r="B53" t="s">
        <v>1713</v>
      </c>
      <c r="C53" t="s">
        <v>1784</v>
      </c>
      <c r="D53" t="s">
        <v>1740</v>
      </c>
      <c r="F53" t="str">
        <f t="shared" si="0"/>
        <v>JESUS MANUEL</v>
      </c>
      <c r="I53" t="s">
        <v>395</v>
      </c>
      <c r="K53" t="str">
        <f t="shared" si="1"/>
        <v>H</v>
      </c>
      <c r="M53" t="s">
        <v>2360</v>
      </c>
      <c r="N53">
        <f t="shared" si="2"/>
        <v>13</v>
      </c>
      <c r="P53" t="s">
        <v>2769</v>
      </c>
      <c r="R53" s="30">
        <v>252</v>
      </c>
      <c r="X53" t="str">
        <f t="shared" si="3"/>
        <v/>
      </c>
      <c r="Y53" t="str">
        <f t="shared" si="4"/>
        <v/>
      </c>
    </row>
    <row r="54" spans="1:25" x14ac:dyDescent="0.25">
      <c r="A54" t="s">
        <v>1812</v>
      </c>
      <c r="B54" t="s">
        <v>1813</v>
      </c>
      <c r="C54" t="s">
        <v>1702</v>
      </c>
      <c r="D54" t="s">
        <v>1804</v>
      </c>
      <c r="F54" t="str">
        <f t="shared" si="0"/>
        <v>LUIS EDUARDO</v>
      </c>
      <c r="I54" t="s">
        <v>399</v>
      </c>
      <c r="K54" t="str">
        <f t="shared" si="1"/>
        <v>H</v>
      </c>
      <c r="M54" t="s">
        <v>2361</v>
      </c>
      <c r="N54">
        <f t="shared" si="2"/>
        <v>13</v>
      </c>
      <c r="P54" t="s">
        <v>2770</v>
      </c>
      <c r="R54" s="30">
        <v>38</v>
      </c>
      <c r="V54" t="s">
        <v>402</v>
      </c>
      <c r="X54" t="str">
        <f t="shared" si="3"/>
        <v>VER011635</v>
      </c>
      <c r="Y54" t="str">
        <f t="shared" si="4"/>
        <v>VER011635</v>
      </c>
    </row>
    <row r="55" spans="1:25" x14ac:dyDescent="0.25">
      <c r="A55" t="s">
        <v>1814</v>
      </c>
      <c r="B55" t="s">
        <v>1815</v>
      </c>
      <c r="C55" t="s">
        <v>1740</v>
      </c>
      <c r="D55" t="s">
        <v>1816</v>
      </c>
      <c r="F55" t="str">
        <f t="shared" si="0"/>
        <v>MANUEL REMBERTO</v>
      </c>
      <c r="I55" t="s">
        <v>404</v>
      </c>
      <c r="K55" t="str">
        <f t="shared" si="1"/>
        <v>H</v>
      </c>
      <c r="M55" t="s">
        <v>1016</v>
      </c>
      <c r="N55">
        <f t="shared" si="2"/>
        <v>13</v>
      </c>
      <c r="P55" t="s">
        <v>2488</v>
      </c>
      <c r="R55" s="30">
        <v>22</v>
      </c>
      <c r="S55">
        <v>302</v>
      </c>
      <c r="X55" t="str">
        <f t="shared" si="3"/>
        <v/>
      </c>
      <c r="Y55" t="str">
        <f t="shared" si="4"/>
        <v/>
      </c>
    </row>
    <row r="56" spans="1:25" x14ac:dyDescent="0.25">
      <c r="A56" t="s">
        <v>1817</v>
      </c>
      <c r="B56" t="s">
        <v>1767</v>
      </c>
      <c r="C56" t="s">
        <v>1818</v>
      </c>
      <c r="D56" t="s">
        <v>1819</v>
      </c>
      <c r="F56" t="str">
        <f t="shared" si="0"/>
        <v>J GUADALUPE</v>
      </c>
      <c r="I56" t="s">
        <v>408</v>
      </c>
      <c r="K56" t="str">
        <f t="shared" si="1"/>
        <v>H</v>
      </c>
      <c r="M56" t="s">
        <v>2362</v>
      </c>
      <c r="N56">
        <f t="shared" si="2"/>
        <v>13</v>
      </c>
      <c r="P56" t="s">
        <v>2771</v>
      </c>
      <c r="R56" s="30">
        <v>24830</v>
      </c>
      <c r="X56" t="str">
        <f t="shared" si="3"/>
        <v/>
      </c>
      <c r="Y56" t="str">
        <f t="shared" si="4"/>
        <v/>
      </c>
    </row>
    <row r="57" spans="1:25" x14ac:dyDescent="0.25">
      <c r="A57" t="s">
        <v>1820</v>
      </c>
      <c r="B57" t="s">
        <v>1771</v>
      </c>
      <c r="C57" t="s">
        <v>1728</v>
      </c>
      <c r="D57" t="s">
        <v>1821</v>
      </c>
      <c r="F57" t="str">
        <f t="shared" si="0"/>
        <v>JOSE ALFREDO</v>
      </c>
      <c r="I57" t="s">
        <v>413</v>
      </c>
      <c r="K57" t="str">
        <f t="shared" si="1"/>
        <v>H</v>
      </c>
      <c r="M57" t="s">
        <v>2363</v>
      </c>
      <c r="N57">
        <f t="shared" si="2"/>
        <v>13</v>
      </c>
      <c r="P57" t="s">
        <v>2772</v>
      </c>
      <c r="R57" s="40">
        <v>2223</v>
      </c>
      <c r="V57" t="s">
        <v>418</v>
      </c>
      <c r="X57" t="str">
        <f t="shared" si="3"/>
        <v>SIN103391</v>
      </c>
      <c r="Y57" t="str">
        <f t="shared" si="4"/>
        <v>SIN103391</v>
      </c>
    </row>
    <row r="58" spans="1:25" x14ac:dyDescent="0.25">
      <c r="A58" t="s">
        <v>1822</v>
      </c>
      <c r="B58" t="s">
        <v>1823</v>
      </c>
      <c r="C58" t="s">
        <v>1784</v>
      </c>
      <c r="D58" t="s">
        <v>1762</v>
      </c>
      <c r="F58" t="str">
        <f t="shared" si="0"/>
        <v>JESUS ARTURO</v>
      </c>
      <c r="I58" t="s">
        <v>420</v>
      </c>
      <c r="K58" t="str">
        <f t="shared" si="1"/>
        <v>H</v>
      </c>
      <c r="M58" t="s">
        <v>2364</v>
      </c>
      <c r="N58">
        <f t="shared" si="2"/>
        <v>13</v>
      </c>
      <c r="P58" t="s">
        <v>2490</v>
      </c>
      <c r="R58" s="30">
        <v>1</v>
      </c>
      <c r="X58" t="str">
        <f t="shared" si="3"/>
        <v/>
      </c>
      <c r="Y58" t="str">
        <f t="shared" si="4"/>
        <v/>
      </c>
    </row>
    <row r="59" spans="1:25" x14ac:dyDescent="0.25">
      <c r="A59" t="s">
        <v>1822</v>
      </c>
      <c r="B59" t="s">
        <v>1824</v>
      </c>
      <c r="C59" t="s">
        <v>1735</v>
      </c>
      <c r="F59" t="str">
        <f t="shared" si="0"/>
        <v xml:space="preserve">GERARDO </v>
      </c>
      <c r="I59" t="s">
        <v>425</v>
      </c>
      <c r="K59" t="str">
        <f t="shared" si="1"/>
        <v>H</v>
      </c>
      <c r="M59" t="s">
        <v>2365</v>
      </c>
      <c r="N59">
        <f t="shared" si="2"/>
        <v>13</v>
      </c>
      <c r="P59" t="s">
        <v>2773</v>
      </c>
      <c r="R59" s="30" t="s">
        <v>2491</v>
      </c>
      <c r="S59" t="s">
        <v>2492</v>
      </c>
      <c r="V59" t="s">
        <v>429</v>
      </c>
      <c r="X59" t="str">
        <f t="shared" si="3"/>
        <v xml:space="preserve">SLP06001 </v>
      </c>
      <c r="Y59" t="str">
        <f t="shared" si="4"/>
        <v>SLP06001</v>
      </c>
    </row>
    <row r="60" spans="1:25" x14ac:dyDescent="0.25">
      <c r="A60" t="s">
        <v>1822</v>
      </c>
      <c r="B60" t="s">
        <v>1825</v>
      </c>
      <c r="C60" t="s">
        <v>1719</v>
      </c>
      <c r="F60" t="str">
        <f t="shared" si="0"/>
        <v xml:space="preserve">JAVIER </v>
      </c>
      <c r="I60" t="s">
        <v>431</v>
      </c>
      <c r="K60" t="str">
        <f t="shared" si="1"/>
        <v>H</v>
      </c>
      <c r="M60" t="s">
        <v>2366</v>
      </c>
      <c r="N60">
        <f t="shared" si="2"/>
        <v>13</v>
      </c>
      <c r="P60" t="s">
        <v>2493</v>
      </c>
      <c r="R60" s="30">
        <v>9</v>
      </c>
      <c r="X60" t="str">
        <f t="shared" si="3"/>
        <v/>
      </c>
      <c r="Y60" t="str">
        <f t="shared" si="4"/>
        <v/>
      </c>
    </row>
    <row r="61" spans="1:25" x14ac:dyDescent="0.25">
      <c r="A61" t="s">
        <v>1826</v>
      </c>
      <c r="B61" t="s">
        <v>1713</v>
      </c>
      <c r="C61" t="s">
        <v>1802</v>
      </c>
      <c r="F61" t="str">
        <f t="shared" si="0"/>
        <v xml:space="preserve">ALBERTO </v>
      </c>
      <c r="I61" t="s">
        <v>436</v>
      </c>
      <c r="K61" t="str">
        <f t="shared" si="1"/>
        <v>H</v>
      </c>
      <c r="M61" t="s">
        <v>2367</v>
      </c>
      <c r="N61">
        <f t="shared" si="2"/>
        <v>10</v>
      </c>
      <c r="P61" t="s">
        <v>2774</v>
      </c>
      <c r="R61" s="30">
        <v>21</v>
      </c>
      <c r="V61" t="s">
        <v>441</v>
      </c>
      <c r="X61" t="str">
        <f t="shared" si="3"/>
        <v>TLAX00147</v>
      </c>
      <c r="Y61" t="str">
        <f t="shared" si="4"/>
        <v>TLAX00147</v>
      </c>
    </row>
    <row r="62" spans="1:25" x14ac:dyDescent="0.25">
      <c r="A62" t="s">
        <v>1770</v>
      </c>
      <c r="B62" t="s">
        <v>1827</v>
      </c>
      <c r="C62" t="s">
        <v>1711</v>
      </c>
      <c r="D62" t="s">
        <v>1710</v>
      </c>
      <c r="F62" t="str">
        <f t="shared" si="0"/>
        <v>SERGIO ALEJANDRO</v>
      </c>
      <c r="I62" t="s">
        <v>443</v>
      </c>
      <c r="K62" t="str">
        <f t="shared" si="1"/>
        <v>H</v>
      </c>
      <c r="M62" t="s">
        <v>2368</v>
      </c>
      <c r="N62">
        <f t="shared" si="2"/>
        <v>13</v>
      </c>
      <c r="P62" t="s">
        <v>2495</v>
      </c>
      <c r="R62" s="30">
        <v>24</v>
      </c>
      <c r="V62" t="s">
        <v>447</v>
      </c>
      <c r="X62" t="str">
        <f t="shared" si="3"/>
        <v>DF0021591</v>
      </c>
      <c r="Y62" t="str">
        <f t="shared" si="4"/>
        <v>DF0021591</v>
      </c>
    </row>
    <row r="63" spans="1:25" x14ac:dyDescent="0.25">
      <c r="A63" t="s">
        <v>1828</v>
      </c>
      <c r="B63" t="s">
        <v>1767</v>
      </c>
      <c r="C63" t="s">
        <v>1829</v>
      </c>
      <c r="F63" t="str">
        <f t="shared" si="0"/>
        <v xml:space="preserve">VICENTE </v>
      </c>
      <c r="I63" t="s">
        <v>449</v>
      </c>
      <c r="K63" t="str">
        <f t="shared" si="1"/>
        <v>H</v>
      </c>
      <c r="M63" t="s">
        <v>2369</v>
      </c>
      <c r="N63">
        <f t="shared" si="2"/>
        <v>13</v>
      </c>
      <c r="P63" t="s">
        <v>2775</v>
      </c>
      <c r="R63" s="30">
        <v>94</v>
      </c>
      <c r="V63" t="s">
        <v>453</v>
      </c>
      <c r="X63" t="str">
        <f t="shared" si="3"/>
        <v>MOR000044</v>
      </c>
      <c r="Y63" t="str">
        <f t="shared" si="4"/>
        <v>MOR000044</v>
      </c>
    </row>
    <row r="64" spans="1:25" x14ac:dyDescent="0.25">
      <c r="A64" t="s">
        <v>1830</v>
      </c>
      <c r="B64" t="s">
        <v>1783</v>
      </c>
      <c r="C64" t="s">
        <v>1784</v>
      </c>
      <c r="D64" t="s">
        <v>1831</v>
      </c>
      <c r="F64" t="str">
        <f t="shared" si="0"/>
        <v>JESUS EDEM</v>
      </c>
      <c r="I64" t="s">
        <v>455</v>
      </c>
      <c r="K64" t="str">
        <f t="shared" si="1"/>
        <v>H</v>
      </c>
      <c r="M64" t="s">
        <v>2370</v>
      </c>
      <c r="N64">
        <f t="shared" si="2"/>
        <v>13</v>
      </c>
      <c r="P64" t="s">
        <v>2776</v>
      </c>
      <c r="R64" s="30">
        <v>7205</v>
      </c>
      <c r="V64" t="s">
        <v>458</v>
      </c>
      <c r="X64" t="str">
        <f t="shared" si="3"/>
        <v>MOR000967</v>
      </c>
      <c r="Y64" t="str">
        <f t="shared" si="4"/>
        <v>MOR000967</v>
      </c>
    </row>
    <row r="65" spans="1:25" x14ac:dyDescent="0.25">
      <c r="A65" t="s">
        <v>1832</v>
      </c>
      <c r="B65" t="s">
        <v>1767</v>
      </c>
      <c r="C65" t="s">
        <v>1833</v>
      </c>
      <c r="D65" t="s">
        <v>1716</v>
      </c>
      <c r="F65" t="str">
        <f t="shared" si="0"/>
        <v>RAUL FERNANDO</v>
      </c>
      <c r="I65" t="s">
        <v>460</v>
      </c>
      <c r="K65" t="str">
        <f t="shared" si="1"/>
        <v>H</v>
      </c>
      <c r="M65" t="s">
        <v>2371</v>
      </c>
      <c r="N65">
        <f t="shared" si="2"/>
        <v>13</v>
      </c>
      <c r="P65" t="s">
        <v>2496</v>
      </c>
      <c r="R65" s="30">
        <v>7638</v>
      </c>
      <c r="V65" t="s">
        <v>464</v>
      </c>
      <c r="X65" t="str">
        <f t="shared" si="3"/>
        <v>CHIH20178</v>
      </c>
      <c r="Y65" t="str">
        <f t="shared" si="4"/>
        <v>CHIH20178</v>
      </c>
    </row>
    <row r="66" spans="1:25" x14ac:dyDescent="0.25">
      <c r="A66" t="s">
        <v>1834</v>
      </c>
      <c r="B66" t="s">
        <v>1835</v>
      </c>
      <c r="C66" t="s">
        <v>1742</v>
      </c>
      <c r="F66" t="str">
        <f t="shared" si="0"/>
        <v xml:space="preserve">IGNACIO </v>
      </c>
      <c r="I66" t="s">
        <v>466</v>
      </c>
      <c r="K66" t="str">
        <f t="shared" si="1"/>
        <v>H</v>
      </c>
      <c r="M66" t="s">
        <v>2372</v>
      </c>
      <c r="N66">
        <f t="shared" si="2"/>
        <v>13</v>
      </c>
      <c r="P66" t="s">
        <v>2777</v>
      </c>
      <c r="R66" s="30" t="s">
        <v>2498</v>
      </c>
      <c r="S66" t="s">
        <v>2499</v>
      </c>
      <c r="X66" t="str">
        <f t="shared" si="3"/>
        <v/>
      </c>
      <c r="Y66" t="str">
        <f t="shared" si="4"/>
        <v/>
      </c>
    </row>
    <row r="67" spans="1:25" x14ac:dyDescent="0.25">
      <c r="A67" t="s">
        <v>1836</v>
      </c>
      <c r="B67" t="s">
        <v>1837</v>
      </c>
      <c r="C67" t="s">
        <v>1819</v>
      </c>
      <c r="F67" t="str">
        <f t="shared" ref="F67:F131" si="5">CONCATENATE(C67," ",D67)</f>
        <v xml:space="preserve">GUADALUPE </v>
      </c>
      <c r="I67" t="s">
        <v>473</v>
      </c>
      <c r="K67" t="str">
        <f t="shared" ref="K67:K131" si="6">MID(I67,11,1)</f>
        <v>H</v>
      </c>
      <c r="M67" t="s">
        <v>2373</v>
      </c>
      <c r="N67">
        <f t="shared" ref="N67:N131" si="7">LEN(M67)</f>
        <v>13</v>
      </c>
      <c r="P67" t="s">
        <v>2781</v>
      </c>
      <c r="R67" s="30">
        <v>5596</v>
      </c>
      <c r="X67" t="str">
        <f t="shared" ref="X67:X91" si="8">MID(V67,1,9)</f>
        <v/>
      </c>
      <c r="Y67" t="str">
        <f t="shared" ref="Y67:Y91" si="9">TRIM(X67)</f>
        <v/>
      </c>
    </row>
    <row r="68" spans="1:25" x14ac:dyDescent="0.25">
      <c r="A68" t="s">
        <v>1838</v>
      </c>
      <c r="B68" t="s">
        <v>1839</v>
      </c>
      <c r="C68" t="s">
        <v>1728</v>
      </c>
      <c r="D68" t="s">
        <v>1819</v>
      </c>
      <c r="F68" t="str">
        <f t="shared" si="5"/>
        <v>JOSE GUADALUPE</v>
      </c>
      <c r="I68" t="s">
        <v>478</v>
      </c>
      <c r="K68" t="str">
        <f t="shared" si="6"/>
        <v>H</v>
      </c>
      <c r="M68" t="s">
        <v>2374</v>
      </c>
      <c r="N68">
        <f t="shared" si="7"/>
        <v>10</v>
      </c>
      <c r="P68" t="s">
        <v>2500</v>
      </c>
      <c r="R68" s="30">
        <v>6218</v>
      </c>
      <c r="X68" t="str">
        <f t="shared" si="8"/>
        <v/>
      </c>
      <c r="Y68" t="str">
        <f t="shared" si="9"/>
        <v/>
      </c>
    </row>
    <row r="69" spans="1:25" x14ac:dyDescent="0.25">
      <c r="A69" t="s">
        <v>1806</v>
      </c>
      <c r="B69" t="s">
        <v>1840</v>
      </c>
      <c r="C69" t="s">
        <v>1841</v>
      </c>
      <c r="F69" t="str">
        <f t="shared" si="5"/>
        <v xml:space="preserve">PEDRO </v>
      </c>
      <c r="I69" t="s">
        <v>482</v>
      </c>
      <c r="K69" t="str">
        <f t="shared" si="6"/>
        <v>H</v>
      </c>
      <c r="M69" t="s">
        <v>2375</v>
      </c>
      <c r="N69">
        <f t="shared" si="7"/>
        <v>13</v>
      </c>
      <c r="P69" t="s">
        <v>2778</v>
      </c>
      <c r="R69" s="30">
        <v>19</v>
      </c>
      <c r="X69" t="str">
        <f t="shared" si="8"/>
        <v/>
      </c>
      <c r="Y69" t="str">
        <f t="shared" si="9"/>
        <v/>
      </c>
    </row>
    <row r="70" spans="1:25" x14ac:dyDescent="0.25">
      <c r="A70" t="s">
        <v>1724</v>
      </c>
      <c r="B70" t="s">
        <v>1806</v>
      </c>
      <c r="C70" t="s">
        <v>1728</v>
      </c>
      <c r="D70" t="s">
        <v>1842</v>
      </c>
      <c r="F70" t="str">
        <f t="shared" si="5"/>
        <v>JOSE IVAN</v>
      </c>
      <c r="I70" t="s">
        <v>486</v>
      </c>
      <c r="K70" t="str">
        <f t="shared" si="6"/>
        <v>H</v>
      </c>
      <c r="M70" t="s">
        <v>2376</v>
      </c>
      <c r="N70">
        <f t="shared" si="7"/>
        <v>10</v>
      </c>
      <c r="P70" t="s">
        <v>230</v>
      </c>
      <c r="R70" s="30">
        <v>16</v>
      </c>
      <c r="X70" t="str">
        <f t="shared" si="8"/>
        <v/>
      </c>
      <c r="Y70" t="str">
        <f t="shared" si="9"/>
        <v/>
      </c>
    </row>
    <row r="71" spans="1:25" x14ac:dyDescent="0.25">
      <c r="A71" t="s">
        <v>1843</v>
      </c>
      <c r="B71" t="s">
        <v>1844</v>
      </c>
      <c r="C71" t="s">
        <v>1845</v>
      </c>
      <c r="F71" t="str">
        <f t="shared" si="5"/>
        <v xml:space="preserve">ALVARO </v>
      </c>
      <c r="I71" t="s">
        <v>491</v>
      </c>
      <c r="K71" t="str">
        <f t="shared" si="6"/>
        <v>H</v>
      </c>
      <c r="M71" t="s">
        <v>2377</v>
      </c>
      <c r="N71">
        <f t="shared" si="7"/>
        <v>13</v>
      </c>
      <c r="P71" t="s">
        <v>2779</v>
      </c>
      <c r="R71" s="30">
        <v>29</v>
      </c>
      <c r="X71" t="str">
        <f t="shared" si="8"/>
        <v/>
      </c>
      <c r="Y71" t="str">
        <f t="shared" si="9"/>
        <v/>
      </c>
    </row>
    <row r="72" spans="1:25" x14ac:dyDescent="0.25">
      <c r="A72" t="s">
        <v>1846</v>
      </c>
      <c r="B72" t="s">
        <v>1847</v>
      </c>
      <c r="C72" t="s">
        <v>1743</v>
      </c>
      <c r="F72" t="str">
        <f t="shared" si="5"/>
        <v xml:space="preserve">GABRIEL </v>
      </c>
      <c r="I72" t="s">
        <v>496</v>
      </c>
      <c r="K72" t="str">
        <f t="shared" si="6"/>
        <v>H</v>
      </c>
      <c r="M72" t="s">
        <v>2378</v>
      </c>
      <c r="N72">
        <f t="shared" si="7"/>
        <v>13</v>
      </c>
      <c r="P72" t="s">
        <v>2780</v>
      </c>
      <c r="R72" s="30">
        <v>53</v>
      </c>
      <c r="X72" t="str">
        <f t="shared" si="8"/>
        <v/>
      </c>
      <c r="Y72" t="str">
        <f t="shared" si="9"/>
        <v/>
      </c>
    </row>
    <row r="73" spans="1:25" x14ac:dyDescent="0.25">
      <c r="A73" t="s">
        <v>1846</v>
      </c>
      <c r="B73" t="s">
        <v>1848</v>
      </c>
      <c r="C73" t="s">
        <v>1833</v>
      </c>
      <c r="F73" t="str">
        <f t="shared" si="5"/>
        <v xml:space="preserve">RAUL </v>
      </c>
      <c r="I73" t="s">
        <v>502</v>
      </c>
      <c r="K73" t="str">
        <f t="shared" si="6"/>
        <v>H</v>
      </c>
      <c r="M73" t="s">
        <v>2379</v>
      </c>
      <c r="N73">
        <f t="shared" si="7"/>
        <v>13</v>
      </c>
      <c r="P73" t="s">
        <v>503</v>
      </c>
      <c r="R73" s="30">
        <v>24</v>
      </c>
      <c r="X73" t="str">
        <f t="shared" si="8"/>
        <v/>
      </c>
      <c r="Y73" t="str">
        <f t="shared" si="9"/>
        <v/>
      </c>
    </row>
    <row r="74" spans="1:25" x14ac:dyDescent="0.25">
      <c r="A74" t="s">
        <v>1849</v>
      </c>
      <c r="B74" t="s">
        <v>1850</v>
      </c>
      <c r="C74" t="s">
        <v>1706</v>
      </c>
      <c r="F74" t="str">
        <f t="shared" si="5"/>
        <v xml:space="preserve">JUAN </v>
      </c>
      <c r="I74" t="s">
        <v>507</v>
      </c>
      <c r="K74" t="str">
        <f t="shared" si="6"/>
        <v>H</v>
      </c>
      <c r="M74" t="s">
        <v>2380</v>
      </c>
      <c r="N74">
        <f t="shared" si="7"/>
        <v>13</v>
      </c>
      <c r="P74" t="s">
        <v>2782</v>
      </c>
      <c r="R74" s="30">
        <v>11</v>
      </c>
      <c r="V74" t="s">
        <v>510</v>
      </c>
      <c r="X74" t="str">
        <f t="shared" si="8"/>
        <v>VER117238</v>
      </c>
      <c r="Y74" t="str">
        <f t="shared" si="9"/>
        <v>VER117238</v>
      </c>
    </row>
    <row r="75" spans="1:25" x14ac:dyDescent="0.25">
      <c r="A75" t="s">
        <v>1718</v>
      </c>
      <c r="B75" t="s">
        <v>1851</v>
      </c>
      <c r="C75" t="s">
        <v>1852</v>
      </c>
      <c r="F75" t="str">
        <f t="shared" si="5"/>
        <v xml:space="preserve">UBALDO </v>
      </c>
      <c r="I75" t="s">
        <v>512</v>
      </c>
      <c r="K75" t="str">
        <f t="shared" si="6"/>
        <v>H</v>
      </c>
      <c r="M75" t="s">
        <v>2381</v>
      </c>
      <c r="N75">
        <f t="shared" si="7"/>
        <v>13</v>
      </c>
      <c r="P75" t="s">
        <v>2783</v>
      </c>
      <c r="R75" s="30">
        <v>15706</v>
      </c>
      <c r="V75" t="s">
        <v>516</v>
      </c>
      <c r="X75" t="str">
        <f t="shared" si="8"/>
        <v>CHIH10474</v>
      </c>
      <c r="Y75" t="str">
        <f t="shared" si="9"/>
        <v>CHIH10474</v>
      </c>
    </row>
    <row r="76" spans="1:25" x14ac:dyDescent="0.25">
      <c r="A76" t="s">
        <v>1853</v>
      </c>
      <c r="B76" t="s">
        <v>1854</v>
      </c>
      <c r="C76" t="s">
        <v>1855</v>
      </c>
      <c r="D76" t="s">
        <v>1856</v>
      </c>
      <c r="F76" t="str">
        <f t="shared" si="5"/>
        <v>LINO BENJAMIN</v>
      </c>
      <c r="I76" t="s">
        <v>518</v>
      </c>
      <c r="K76" t="str">
        <f t="shared" si="6"/>
        <v>H</v>
      </c>
      <c r="M76" t="s">
        <v>2382</v>
      </c>
      <c r="N76">
        <f t="shared" si="7"/>
        <v>13</v>
      </c>
      <c r="P76" t="s">
        <v>2501</v>
      </c>
      <c r="R76" s="30" t="s">
        <v>2502</v>
      </c>
      <c r="S76" t="s">
        <v>2503</v>
      </c>
      <c r="V76" t="s">
        <v>522</v>
      </c>
      <c r="X76" t="str">
        <f t="shared" si="8"/>
        <v>EDOM09359</v>
      </c>
      <c r="Y76" t="str">
        <f t="shared" si="9"/>
        <v>EDOM09359</v>
      </c>
    </row>
    <row r="77" spans="1:25" x14ac:dyDescent="0.25">
      <c r="A77" t="s">
        <v>1857</v>
      </c>
      <c r="B77" t="s">
        <v>1781</v>
      </c>
      <c r="C77" t="s">
        <v>1858</v>
      </c>
      <c r="F77" t="str">
        <f t="shared" si="5"/>
        <v xml:space="preserve">GUSTAVO </v>
      </c>
      <c r="I77" t="s">
        <v>524</v>
      </c>
      <c r="K77" t="str">
        <f t="shared" si="6"/>
        <v>H</v>
      </c>
      <c r="M77" t="s">
        <v>2383</v>
      </c>
      <c r="N77">
        <f t="shared" si="7"/>
        <v>10</v>
      </c>
      <c r="P77" t="s">
        <v>2784</v>
      </c>
      <c r="R77" s="30">
        <v>36</v>
      </c>
      <c r="X77" t="str">
        <f t="shared" si="8"/>
        <v/>
      </c>
      <c r="Y77" t="str">
        <f t="shared" si="9"/>
        <v/>
      </c>
    </row>
    <row r="78" spans="1:25" x14ac:dyDescent="0.25">
      <c r="A78" t="s">
        <v>1859</v>
      </c>
      <c r="B78" t="s">
        <v>1699</v>
      </c>
      <c r="C78" t="s">
        <v>1860</v>
      </c>
      <c r="F78" t="str">
        <f t="shared" si="5"/>
        <v xml:space="preserve">GERMAN </v>
      </c>
      <c r="I78" t="s">
        <v>528</v>
      </c>
      <c r="K78" t="str">
        <f t="shared" si="6"/>
        <v>H</v>
      </c>
      <c r="M78" t="s">
        <v>2384</v>
      </c>
      <c r="N78">
        <f t="shared" si="7"/>
        <v>13</v>
      </c>
      <c r="P78" t="s">
        <v>2785</v>
      </c>
      <c r="R78" s="30" t="s">
        <v>2786</v>
      </c>
      <c r="S78" t="s">
        <v>2477</v>
      </c>
      <c r="V78" t="s">
        <v>532</v>
      </c>
      <c r="X78" t="str">
        <f t="shared" si="8"/>
        <v>VER123019</v>
      </c>
      <c r="Y78" t="str">
        <f t="shared" si="9"/>
        <v>VER123019</v>
      </c>
    </row>
    <row r="79" spans="1:25" x14ac:dyDescent="0.25">
      <c r="A79" t="s">
        <v>1859</v>
      </c>
      <c r="B79" t="s">
        <v>1823</v>
      </c>
      <c r="C79" t="s">
        <v>1784</v>
      </c>
      <c r="D79" t="s">
        <v>1728</v>
      </c>
      <c r="E79" t="s">
        <v>1702</v>
      </c>
      <c r="F79" t="str">
        <f t="shared" si="5"/>
        <v>JESUS JOSE</v>
      </c>
      <c r="I79" t="s">
        <v>534</v>
      </c>
      <c r="K79" t="str">
        <f t="shared" si="6"/>
        <v>H</v>
      </c>
      <c r="M79" t="s">
        <v>2385</v>
      </c>
      <c r="N79">
        <f t="shared" si="7"/>
        <v>13</v>
      </c>
      <c r="P79" t="s">
        <v>2787</v>
      </c>
      <c r="R79" s="30" t="s">
        <v>2505</v>
      </c>
      <c r="S79" t="s">
        <v>2506</v>
      </c>
      <c r="V79" t="s">
        <v>538</v>
      </c>
      <c r="X79" t="str">
        <f t="shared" si="8"/>
        <v xml:space="preserve">DF209599 </v>
      </c>
      <c r="Y79" t="str">
        <f t="shared" si="9"/>
        <v>DF209599</v>
      </c>
    </row>
    <row r="80" spans="1:25" x14ac:dyDescent="0.25">
      <c r="A80" t="s">
        <v>1859</v>
      </c>
      <c r="B80" t="s">
        <v>1861</v>
      </c>
      <c r="C80" t="s">
        <v>1790</v>
      </c>
      <c r="D80" t="s">
        <v>1791</v>
      </c>
      <c r="F80" t="str">
        <f t="shared" si="5"/>
        <v>ROBERTO CARLOS</v>
      </c>
      <c r="I80" t="s">
        <v>540</v>
      </c>
      <c r="K80" t="str">
        <f t="shared" si="6"/>
        <v>H</v>
      </c>
      <c r="M80" t="s">
        <v>2386</v>
      </c>
      <c r="N80">
        <f t="shared" si="7"/>
        <v>13</v>
      </c>
      <c r="P80" t="s">
        <v>2788</v>
      </c>
      <c r="R80" s="30">
        <v>10721</v>
      </c>
      <c r="S80" t="s">
        <v>2507</v>
      </c>
      <c r="X80" t="str">
        <f t="shared" si="8"/>
        <v/>
      </c>
      <c r="Y80" t="str">
        <f t="shared" si="9"/>
        <v/>
      </c>
    </row>
    <row r="81" spans="1:25" x14ac:dyDescent="0.25">
      <c r="A81" t="s">
        <v>1862</v>
      </c>
      <c r="B81" t="s">
        <v>1863</v>
      </c>
      <c r="C81" t="s">
        <v>1706</v>
      </c>
      <c r="D81" t="s">
        <v>1743</v>
      </c>
      <c r="F81" t="str">
        <f t="shared" si="5"/>
        <v>JUAN GABRIEL</v>
      </c>
      <c r="I81" t="s">
        <v>544</v>
      </c>
      <c r="K81" t="str">
        <f t="shared" si="6"/>
        <v>H</v>
      </c>
      <c r="M81" t="s">
        <v>2387</v>
      </c>
      <c r="N81">
        <f t="shared" si="7"/>
        <v>13</v>
      </c>
      <c r="P81" t="s">
        <v>222</v>
      </c>
      <c r="R81" s="30" t="s">
        <v>2508</v>
      </c>
      <c r="S81" t="s">
        <v>2448</v>
      </c>
      <c r="V81" t="s">
        <v>547</v>
      </c>
      <c r="X81" t="str">
        <f t="shared" si="8"/>
        <v>DF0023148</v>
      </c>
      <c r="Y81" t="str">
        <f t="shared" si="9"/>
        <v>DF0023148</v>
      </c>
    </row>
    <row r="82" spans="1:25" x14ac:dyDescent="0.25">
      <c r="A82" t="s">
        <v>1862</v>
      </c>
      <c r="B82" t="s">
        <v>1862</v>
      </c>
      <c r="C82" t="s">
        <v>1864</v>
      </c>
      <c r="F82" t="str">
        <f t="shared" si="5"/>
        <v xml:space="preserve">ABRAHAM </v>
      </c>
      <c r="I82" t="s">
        <v>549</v>
      </c>
      <c r="K82" t="str">
        <f t="shared" si="6"/>
        <v>H</v>
      </c>
      <c r="M82" t="s">
        <v>2388</v>
      </c>
      <c r="N82">
        <f t="shared" si="7"/>
        <v>13</v>
      </c>
      <c r="P82" t="s">
        <v>2789</v>
      </c>
      <c r="R82" s="30">
        <v>4</v>
      </c>
      <c r="V82" t="s">
        <v>552</v>
      </c>
      <c r="X82" t="str">
        <f t="shared" si="8"/>
        <v>DF0013542</v>
      </c>
      <c r="Y82" t="str">
        <f t="shared" si="9"/>
        <v>DF0013542</v>
      </c>
    </row>
    <row r="83" spans="1:25" x14ac:dyDescent="0.25">
      <c r="A83" t="s">
        <v>1865</v>
      </c>
      <c r="B83" t="s">
        <v>1866</v>
      </c>
      <c r="C83" t="s">
        <v>1867</v>
      </c>
      <c r="F83" t="str">
        <f t="shared" si="5"/>
        <v xml:space="preserve">JUSTO </v>
      </c>
      <c r="I83" t="s">
        <v>554</v>
      </c>
      <c r="K83" t="str">
        <f t="shared" si="6"/>
        <v>H</v>
      </c>
      <c r="M83" t="s">
        <v>2389</v>
      </c>
      <c r="N83">
        <f t="shared" si="7"/>
        <v>13</v>
      </c>
      <c r="P83" t="s">
        <v>2790</v>
      </c>
      <c r="R83" s="30">
        <v>220</v>
      </c>
      <c r="S83">
        <v>1</v>
      </c>
      <c r="X83" t="str">
        <f t="shared" si="8"/>
        <v/>
      </c>
      <c r="Y83" t="str">
        <f t="shared" si="9"/>
        <v/>
      </c>
    </row>
    <row r="84" spans="1:25" x14ac:dyDescent="0.25">
      <c r="A84" t="s">
        <v>1868</v>
      </c>
      <c r="B84" t="s">
        <v>1869</v>
      </c>
      <c r="C84" t="s">
        <v>1804</v>
      </c>
      <c r="F84" t="str">
        <f t="shared" si="5"/>
        <v xml:space="preserve">EDUARDO </v>
      </c>
      <c r="I84" t="s">
        <v>558</v>
      </c>
      <c r="K84" t="str">
        <f t="shared" si="6"/>
        <v>H</v>
      </c>
      <c r="M84" t="s">
        <v>2390</v>
      </c>
      <c r="N84">
        <f t="shared" si="7"/>
        <v>13</v>
      </c>
      <c r="P84" t="s">
        <v>2509</v>
      </c>
      <c r="R84" s="30">
        <v>3</v>
      </c>
      <c r="V84" t="s">
        <v>563</v>
      </c>
      <c r="X84" t="str">
        <f t="shared" si="8"/>
        <v>DF0015608</v>
      </c>
      <c r="Y84" t="str">
        <f t="shared" si="9"/>
        <v>DF0015608</v>
      </c>
    </row>
    <row r="85" spans="1:25" x14ac:dyDescent="0.25">
      <c r="A85" t="s">
        <v>1870</v>
      </c>
      <c r="B85" t="s">
        <v>1823</v>
      </c>
      <c r="C85" t="s">
        <v>1871</v>
      </c>
      <c r="D85" t="s">
        <v>1728</v>
      </c>
      <c r="E85" t="s">
        <v>1725</v>
      </c>
      <c r="F85" t="str">
        <f t="shared" si="5"/>
        <v>LUNA JOSE</v>
      </c>
      <c r="I85" t="s">
        <v>565</v>
      </c>
      <c r="K85" t="str">
        <f t="shared" si="6"/>
        <v>H</v>
      </c>
      <c r="M85" t="s">
        <v>2391</v>
      </c>
      <c r="N85">
        <f t="shared" si="7"/>
        <v>13</v>
      </c>
      <c r="P85" t="s">
        <v>2791</v>
      </c>
      <c r="R85" s="30">
        <v>218</v>
      </c>
      <c r="V85" t="s">
        <v>570</v>
      </c>
      <c r="X85" t="str">
        <f t="shared" si="8"/>
        <v>JAL003012</v>
      </c>
      <c r="Y85" t="str">
        <f t="shared" si="9"/>
        <v>JAL003012</v>
      </c>
    </row>
    <row r="86" spans="1:25" x14ac:dyDescent="0.25">
      <c r="A86" t="s">
        <v>1872</v>
      </c>
      <c r="B86" t="s">
        <v>1873</v>
      </c>
      <c r="C86" t="s">
        <v>1874</v>
      </c>
      <c r="D86" t="s">
        <v>1797</v>
      </c>
      <c r="F86" t="str">
        <f t="shared" si="5"/>
        <v>EDGAR ENRIQUE</v>
      </c>
      <c r="I86" t="s">
        <v>572</v>
      </c>
      <c r="K86" t="str">
        <f t="shared" si="6"/>
        <v>H</v>
      </c>
      <c r="M86" t="s">
        <v>2392</v>
      </c>
      <c r="N86">
        <f t="shared" si="7"/>
        <v>10</v>
      </c>
      <c r="P86" t="s">
        <v>2510</v>
      </c>
      <c r="R86" s="30">
        <v>93</v>
      </c>
      <c r="V86" t="s">
        <v>576</v>
      </c>
      <c r="X86" t="str">
        <f t="shared" si="8"/>
        <v>DF0022450</v>
      </c>
      <c r="Y86" t="str">
        <f t="shared" si="9"/>
        <v>DF0022450</v>
      </c>
    </row>
    <row r="87" spans="1:25" x14ac:dyDescent="0.25">
      <c r="A87" t="s">
        <v>1706</v>
      </c>
      <c r="B87" t="s">
        <v>1740</v>
      </c>
      <c r="C87" t="s">
        <v>1875</v>
      </c>
      <c r="D87" t="s">
        <v>1736</v>
      </c>
      <c r="F87" t="str">
        <f t="shared" si="5"/>
        <v>MORENO CASTRO</v>
      </c>
      <c r="I87" t="s">
        <v>581</v>
      </c>
      <c r="K87" t="str">
        <f t="shared" si="6"/>
        <v>H</v>
      </c>
      <c r="M87" t="s">
        <v>580</v>
      </c>
      <c r="N87">
        <f t="shared" si="7"/>
        <v>13</v>
      </c>
      <c r="P87" t="s">
        <v>2511</v>
      </c>
      <c r="R87" s="30">
        <v>8169</v>
      </c>
      <c r="S87" t="s">
        <v>2513</v>
      </c>
      <c r="V87" t="s">
        <v>584</v>
      </c>
      <c r="X87" t="str">
        <f t="shared" si="8"/>
        <v>B-E FEDER</v>
      </c>
      <c r="Y87" t="str">
        <f t="shared" si="9"/>
        <v>B-E FEDER</v>
      </c>
    </row>
    <row r="88" spans="1:25" x14ac:dyDescent="0.25">
      <c r="A88" t="s">
        <v>1876</v>
      </c>
      <c r="B88" t="s">
        <v>1773</v>
      </c>
      <c r="C88" t="s">
        <v>1877</v>
      </c>
      <c r="F88" t="str">
        <f t="shared" si="5"/>
        <v xml:space="preserve">RAMIRO </v>
      </c>
      <c r="I88" t="s">
        <v>586</v>
      </c>
      <c r="K88" t="str">
        <f t="shared" si="6"/>
        <v>H</v>
      </c>
      <c r="M88" t="s">
        <v>2393</v>
      </c>
      <c r="N88">
        <f t="shared" si="7"/>
        <v>13</v>
      </c>
      <c r="P88" t="s">
        <v>2792</v>
      </c>
      <c r="R88" s="30" t="s">
        <v>13</v>
      </c>
      <c r="V88" t="s">
        <v>589</v>
      </c>
      <c r="X88" t="str">
        <f t="shared" si="8"/>
        <v>GRO000220</v>
      </c>
      <c r="Y88" t="str">
        <f t="shared" si="9"/>
        <v>GRO000220</v>
      </c>
    </row>
    <row r="89" spans="1:25" x14ac:dyDescent="0.25">
      <c r="A89" t="s">
        <v>1878</v>
      </c>
      <c r="B89" t="s">
        <v>1879</v>
      </c>
      <c r="C89" t="s">
        <v>1725</v>
      </c>
      <c r="D89" t="s">
        <v>1880</v>
      </c>
      <c r="F89" t="str">
        <f t="shared" si="5"/>
        <v>DAVID ROMAN</v>
      </c>
      <c r="I89" t="s">
        <v>592</v>
      </c>
      <c r="K89" t="str">
        <f t="shared" si="6"/>
        <v>H</v>
      </c>
      <c r="M89" t="s">
        <v>591</v>
      </c>
      <c r="N89">
        <f t="shared" si="7"/>
        <v>10</v>
      </c>
      <c r="P89" t="s">
        <v>2793</v>
      </c>
      <c r="R89" s="30">
        <v>49</v>
      </c>
      <c r="V89" t="s">
        <v>595</v>
      </c>
      <c r="X89" t="str">
        <f t="shared" si="8"/>
        <v>DF0014914</v>
      </c>
      <c r="Y89" t="str">
        <f t="shared" si="9"/>
        <v>DF0014914</v>
      </c>
    </row>
    <row r="90" spans="1:25" x14ac:dyDescent="0.25">
      <c r="A90" t="s">
        <v>1862</v>
      </c>
      <c r="B90" t="s">
        <v>1713</v>
      </c>
      <c r="C90" t="s">
        <v>1881</v>
      </c>
      <c r="D90" t="s">
        <v>1882</v>
      </c>
      <c r="F90" t="str">
        <f t="shared" si="5"/>
        <v>HECTOR ESTEBAN</v>
      </c>
      <c r="I90" t="s">
        <v>597</v>
      </c>
      <c r="K90" t="str">
        <f t="shared" si="6"/>
        <v>H</v>
      </c>
      <c r="M90" t="s">
        <v>2394</v>
      </c>
      <c r="N90">
        <f t="shared" si="7"/>
        <v>13</v>
      </c>
      <c r="P90" t="s">
        <v>2514</v>
      </c>
      <c r="R90" s="30">
        <v>114</v>
      </c>
      <c r="X90" t="str">
        <f t="shared" si="8"/>
        <v/>
      </c>
      <c r="Y90" t="str">
        <f t="shared" si="9"/>
        <v/>
      </c>
    </row>
    <row r="91" spans="1:25" x14ac:dyDescent="0.25">
      <c r="A91" t="s">
        <v>1765</v>
      </c>
      <c r="B91" t="s">
        <v>1718</v>
      </c>
      <c r="C91" t="s">
        <v>1877</v>
      </c>
      <c r="F91" t="str">
        <f t="shared" si="5"/>
        <v xml:space="preserve">RAMIRO </v>
      </c>
      <c r="I91" t="s">
        <v>603</v>
      </c>
      <c r="K91" t="str">
        <f t="shared" si="6"/>
        <v>H</v>
      </c>
      <c r="M91" t="s">
        <v>2395</v>
      </c>
      <c r="N91">
        <f t="shared" si="7"/>
        <v>13</v>
      </c>
      <c r="P91" t="s">
        <v>2794</v>
      </c>
      <c r="R91" s="30" t="s">
        <v>2451</v>
      </c>
      <c r="S91">
        <v>848</v>
      </c>
      <c r="V91" t="s">
        <v>608</v>
      </c>
      <c r="X91" t="str">
        <f t="shared" si="8"/>
        <v>AGS000407</v>
      </c>
      <c r="Y91" t="str">
        <f t="shared" si="9"/>
        <v>AGS000407</v>
      </c>
    </row>
    <row r="92" spans="1:25" x14ac:dyDescent="0.25">
      <c r="V92" t="s">
        <v>615</v>
      </c>
    </row>
    <row r="93" spans="1:25" x14ac:dyDescent="0.25">
      <c r="A93" t="s">
        <v>1883</v>
      </c>
      <c r="B93" t="s">
        <v>1823</v>
      </c>
      <c r="C93" t="s">
        <v>1884</v>
      </c>
      <c r="D93" t="s">
        <v>1885</v>
      </c>
      <c r="E93" t="s">
        <v>1886</v>
      </c>
      <c r="F93" t="str">
        <f t="shared" si="5"/>
        <v>LA ROSA</v>
      </c>
      <c r="I93" t="s">
        <v>610</v>
      </c>
      <c r="K93" t="str">
        <f t="shared" si="6"/>
        <v>H</v>
      </c>
      <c r="M93" t="s">
        <v>2396</v>
      </c>
      <c r="N93">
        <f t="shared" si="7"/>
        <v>13</v>
      </c>
      <c r="P93" t="s">
        <v>2515</v>
      </c>
      <c r="R93" s="30">
        <v>2</v>
      </c>
      <c r="V93" t="s">
        <v>621</v>
      </c>
    </row>
    <row r="94" spans="1:25" x14ac:dyDescent="0.25">
      <c r="A94" t="s">
        <v>1713</v>
      </c>
      <c r="B94" t="s">
        <v>1887</v>
      </c>
      <c r="C94" t="s">
        <v>1888</v>
      </c>
      <c r="D94" t="s">
        <v>1889</v>
      </c>
      <c r="F94" t="str">
        <f t="shared" si="5"/>
        <v>MIGUEL ANGEL</v>
      </c>
      <c r="I94" t="s">
        <v>617</v>
      </c>
      <c r="K94" t="str">
        <f t="shared" si="6"/>
        <v>H</v>
      </c>
      <c r="M94" t="s">
        <v>2397</v>
      </c>
      <c r="N94">
        <f t="shared" si="7"/>
        <v>13</v>
      </c>
      <c r="P94" t="s">
        <v>2795</v>
      </c>
      <c r="R94" s="30" t="s">
        <v>2451</v>
      </c>
      <c r="S94">
        <v>12</v>
      </c>
      <c r="V94" t="s">
        <v>628</v>
      </c>
    </row>
    <row r="95" spans="1:25" x14ac:dyDescent="0.25">
      <c r="A95" t="s">
        <v>1890</v>
      </c>
      <c r="B95" t="s">
        <v>1891</v>
      </c>
      <c r="C95" t="s">
        <v>1710</v>
      </c>
      <c r="F95" t="str">
        <f t="shared" si="5"/>
        <v xml:space="preserve">ALEJANDRO </v>
      </c>
      <c r="I95" t="s">
        <v>623</v>
      </c>
      <c r="K95" t="str">
        <f t="shared" si="6"/>
        <v>H</v>
      </c>
      <c r="M95" t="s">
        <v>2398</v>
      </c>
      <c r="N95">
        <f t="shared" si="7"/>
        <v>13</v>
      </c>
      <c r="P95" t="s">
        <v>2796</v>
      </c>
      <c r="R95" s="30" t="s">
        <v>2516</v>
      </c>
      <c r="S95" t="s">
        <v>2517</v>
      </c>
      <c r="T95" t="s">
        <v>2481</v>
      </c>
      <c r="U95" t="s">
        <v>2518</v>
      </c>
      <c r="V95" t="s">
        <v>634</v>
      </c>
    </row>
    <row r="96" spans="1:25" x14ac:dyDescent="0.25">
      <c r="A96" t="s">
        <v>1892</v>
      </c>
      <c r="B96" t="s">
        <v>1850</v>
      </c>
      <c r="C96" t="s">
        <v>1791</v>
      </c>
      <c r="F96" t="str">
        <f t="shared" si="5"/>
        <v xml:space="preserve">CARLOS </v>
      </c>
      <c r="I96" t="s">
        <v>630</v>
      </c>
      <c r="K96" t="str">
        <f t="shared" si="6"/>
        <v>H</v>
      </c>
      <c r="M96" t="s">
        <v>2399</v>
      </c>
      <c r="N96">
        <f t="shared" si="7"/>
        <v>13</v>
      </c>
      <c r="P96" t="s">
        <v>2519</v>
      </c>
      <c r="Q96" t="s">
        <v>2451</v>
      </c>
      <c r="R96" s="30">
        <v>1</v>
      </c>
      <c r="V96" t="s">
        <v>641</v>
      </c>
    </row>
    <row r="97" spans="1:26" x14ac:dyDescent="0.25">
      <c r="A97" t="s">
        <v>1893</v>
      </c>
      <c r="B97" t="s">
        <v>1699</v>
      </c>
      <c r="C97" t="s">
        <v>1894</v>
      </c>
      <c r="F97" t="str">
        <f t="shared" si="5"/>
        <v xml:space="preserve">JULIAN </v>
      </c>
      <c r="I97" t="s">
        <v>637</v>
      </c>
      <c r="K97" t="str">
        <f t="shared" si="6"/>
        <v>H</v>
      </c>
      <c r="M97" t="s">
        <v>2400</v>
      </c>
      <c r="N97">
        <f t="shared" si="7"/>
        <v>13</v>
      </c>
      <c r="P97" t="s">
        <v>2797</v>
      </c>
      <c r="Q97" t="s">
        <v>1823</v>
      </c>
      <c r="R97" s="30" t="s">
        <v>932</v>
      </c>
      <c r="S97" t="s">
        <v>2437</v>
      </c>
      <c r="T97">
        <v>131</v>
      </c>
      <c r="U97" t="s">
        <v>2520</v>
      </c>
      <c r="V97" t="s">
        <v>646</v>
      </c>
    </row>
    <row r="98" spans="1:26" x14ac:dyDescent="0.25">
      <c r="A98" t="s">
        <v>1895</v>
      </c>
      <c r="B98" t="s">
        <v>1896</v>
      </c>
      <c r="C98" t="s">
        <v>1782</v>
      </c>
      <c r="D98" t="s">
        <v>1740</v>
      </c>
      <c r="F98" t="str">
        <f t="shared" si="5"/>
        <v>VICTOR MANUEL</v>
      </c>
      <c r="I98" t="s">
        <v>643</v>
      </c>
      <c r="K98" t="str">
        <f t="shared" si="6"/>
        <v>H</v>
      </c>
      <c r="M98" t="s">
        <v>2401</v>
      </c>
      <c r="N98">
        <f t="shared" si="7"/>
        <v>13</v>
      </c>
      <c r="P98" t="s">
        <v>2798</v>
      </c>
      <c r="Q98" t="s">
        <v>1823</v>
      </c>
      <c r="R98" s="30" t="s">
        <v>1884</v>
      </c>
      <c r="S98" t="s">
        <v>2521</v>
      </c>
      <c r="T98" t="s">
        <v>2522</v>
      </c>
      <c r="U98" t="s">
        <v>2437</v>
      </c>
      <c r="V98" t="s">
        <v>654</v>
      </c>
    </row>
    <row r="99" spans="1:26" x14ac:dyDescent="0.25">
      <c r="A99" t="s">
        <v>1745</v>
      </c>
      <c r="B99" t="s">
        <v>1705</v>
      </c>
      <c r="C99" t="s">
        <v>1790</v>
      </c>
      <c r="D99" t="s">
        <v>1897</v>
      </c>
      <c r="F99" t="str">
        <f t="shared" si="5"/>
        <v>ROBERTO OSWALDO</v>
      </c>
      <c r="I99" t="s">
        <v>648</v>
      </c>
      <c r="K99" t="str">
        <f t="shared" si="6"/>
        <v>H</v>
      </c>
      <c r="M99" t="s">
        <v>2402</v>
      </c>
      <c r="N99">
        <f t="shared" si="7"/>
        <v>13</v>
      </c>
      <c r="P99" t="s">
        <v>2774</v>
      </c>
      <c r="Q99" t="s">
        <v>1823</v>
      </c>
      <c r="R99" s="30" t="s">
        <v>2494</v>
      </c>
      <c r="S99">
        <v>2</v>
      </c>
      <c r="T99" t="s">
        <v>2438</v>
      </c>
      <c r="V99" t="s">
        <v>661</v>
      </c>
    </row>
    <row r="100" spans="1:26" x14ac:dyDescent="0.25">
      <c r="A100" t="s">
        <v>1898</v>
      </c>
      <c r="B100" t="s">
        <v>1890</v>
      </c>
      <c r="C100" t="s">
        <v>1784</v>
      </c>
      <c r="D100" t="s">
        <v>1719</v>
      </c>
      <c r="F100" t="str">
        <f t="shared" si="5"/>
        <v>JESUS JAVIER</v>
      </c>
      <c r="I100" t="s">
        <v>656</v>
      </c>
      <c r="K100" t="str">
        <f t="shared" si="6"/>
        <v>H</v>
      </c>
      <c r="M100" t="s">
        <v>2403</v>
      </c>
      <c r="N100">
        <f t="shared" si="7"/>
        <v>10</v>
      </c>
      <c r="P100" t="s">
        <v>2799</v>
      </c>
      <c r="Q100" t="s">
        <v>2523</v>
      </c>
      <c r="R100" s="30" t="s">
        <v>2524</v>
      </c>
      <c r="S100" t="s">
        <v>2437</v>
      </c>
      <c r="T100">
        <v>29</v>
      </c>
      <c r="V100" t="s">
        <v>667</v>
      </c>
    </row>
    <row r="101" spans="1:26" x14ac:dyDescent="0.25">
      <c r="A101" t="s">
        <v>1899</v>
      </c>
      <c r="B101" t="s">
        <v>1900</v>
      </c>
      <c r="C101" t="s">
        <v>1702</v>
      </c>
      <c r="D101" t="s">
        <v>1762</v>
      </c>
      <c r="F101" t="str">
        <f t="shared" si="5"/>
        <v>LUIS ARTURO</v>
      </c>
      <c r="I101" t="s">
        <v>663</v>
      </c>
      <c r="K101" t="str">
        <f t="shared" si="6"/>
        <v>H</v>
      </c>
      <c r="M101" t="s">
        <v>2404</v>
      </c>
      <c r="N101">
        <f t="shared" si="7"/>
        <v>13</v>
      </c>
      <c r="P101" t="s">
        <v>2800</v>
      </c>
      <c r="Q101" t="s">
        <v>1850</v>
      </c>
      <c r="R101" s="30" t="s">
        <v>2525</v>
      </c>
      <c r="S101" t="s">
        <v>2451</v>
      </c>
      <c r="T101">
        <v>16</v>
      </c>
      <c r="V101" t="s">
        <v>673</v>
      </c>
    </row>
    <row r="102" spans="1:26" x14ac:dyDescent="0.25">
      <c r="A102" t="s">
        <v>1901</v>
      </c>
      <c r="B102" t="s">
        <v>1754</v>
      </c>
      <c r="C102" t="s">
        <v>1728</v>
      </c>
      <c r="D102" t="s">
        <v>1699</v>
      </c>
      <c r="F102" t="str">
        <f t="shared" si="5"/>
        <v>JOSE CRUZ</v>
      </c>
      <c r="I102" t="s">
        <v>669</v>
      </c>
      <c r="K102" t="str">
        <f t="shared" si="6"/>
        <v>H</v>
      </c>
      <c r="M102" t="s">
        <v>2405</v>
      </c>
      <c r="N102">
        <f t="shared" si="7"/>
        <v>13</v>
      </c>
      <c r="P102" t="s">
        <v>2801</v>
      </c>
      <c r="Q102" t="s">
        <v>2526</v>
      </c>
      <c r="R102" s="30" t="s">
        <v>1823</v>
      </c>
      <c r="S102" t="s">
        <v>2483</v>
      </c>
      <c r="T102" t="s">
        <v>2497</v>
      </c>
      <c r="U102" t="s">
        <v>2451</v>
      </c>
      <c r="V102" t="s">
        <v>678</v>
      </c>
      <c r="W102" t="s">
        <v>2434</v>
      </c>
      <c r="X102" t="s">
        <v>2527</v>
      </c>
      <c r="Y102" t="s">
        <v>2466</v>
      </c>
      <c r="Z102">
        <v>5</v>
      </c>
    </row>
    <row r="103" spans="1:26" x14ac:dyDescent="0.25">
      <c r="A103" t="s">
        <v>1902</v>
      </c>
      <c r="B103" t="s">
        <v>1903</v>
      </c>
      <c r="C103" t="s">
        <v>1904</v>
      </c>
      <c r="F103" t="str">
        <f t="shared" si="5"/>
        <v xml:space="preserve">ROLANDO </v>
      </c>
      <c r="I103" t="s">
        <v>675</v>
      </c>
      <c r="K103" t="str">
        <f t="shared" si="6"/>
        <v>H</v>
      </c>
      <c r="M103" t="s">
        <v>2406</v>
      </c>
      <c r="N103">
        <f t="shared" si="7"/>
        <v>13</v>
      </c>
      <c r="P103" t="s">
        <v>2528</v>
      </c>
      <c r="Q103" t="s">
        <v>2451</v>
      </c>
      <c r="R103" s="30">
        <v>2625</v>
      </c>
      <c r="V103" t="s">
        <v>684</v>
      </c>
    </row>
    <row r="104" spans="1:26" x14ac:dyDescent="0.25">
      <c r="A104" t="s">
        <v>1905</v>
      </c>
      <c r="B104" t="s">
        <v>1906</v>
      </c>
      <c r="C104" t="s">
        <v>1780</v>
      </c>
      <c r="D104" t="s">
        <v>1907</v>
      </c>
      <c r="F104" t="str">
        <f t="shared" si="5"/>
        <v>ISIDRO FABIAN</v>
      </c>
      <c r="I104" t="s">
        <v>680</v>
      </c>
      <c r="K104" t="str">
        <f t="shared" si="6"/>
        <v>H</v>
      </c>
      <c r="M104" t="s">
        <v>2407</v>
      </c>
      <c r="N104">
        <f t="shared" si="7"/>
        <v>13</v>
      </c>
      <c r="P104" t="s">
        <v>2802</v>
      </c>
      <c r="Q104" t="s">
        <v>2529</v>
      </c>
      <c r="R104" s="30" t="s">
        <v>13</v>
      </c>
      <c r="V104" t="s">
        <v>691</v>
      </c>
    </row>
    <row r="105" spans="1:26" x14ac:dyDescent="0.25">
      <c r="A105" t="s">
        <v>1850</v>
      </c>
      <c r="B105" t="s">
        <v>1773</v>
      </c>
      <c r="C105" t="s">
        <v>1865</v>
      </c>
      <c r="F105" t="str">
        <f t="shared" si="5"/>
        <v xml:space="preserve">SANTOS </v>
      </c>
      <c r="I105" t="s">
        <v>686</v>
      </c>
      <c r="K105" t="str">
        <f t="shared" si="6"/>
        <v>H</v>
      </c>
      <c r="M105" t="s">
        <v>2408</v>
      </c>
      <c r="N105">
        <f t="shared" si="7"/>
        <v>13</v>
      </c>
      <c r="P105" t="s">
        <v>1621</v>
      </c>
      <c r="Q105" t="s">
        <v>2530</v>
      </c>
      <c r="R105" s="30" t="s">
        <v>2531</v>
      </c>
      <c r="S105" t="s">
        <v>13</v>
      </c>
      <c r="V105" t="s">
        <v>698</v>
      </c>
    </row>
    <row r="106" spans="1:26" x14ac:dyDescent="0.25">
      <c r="A106" t="s">
        <v>1765</v>
      </c>
      <c r="B106" t="s">
        <v>277</v>
      </c>
      <c r="C106" t="s">
        <v>1908</v>
      </c>
      <c r="F106" t="str">
        <f t="shared" si="5"/>
        <v xml:space="preserve">ARMANDO </v>
      </c>
      <c r="I106" t="s">
        <v>693</v>
      </c>
      <c r="K106" t="str">
        <f t="shared" si="6"/>
        <v>H</v>
      </c>
      <c r="M106" t="s">
        <v>2409</v>
      </c>
      <c r="N106">
        <f t="shared" si="7"/>
        <v>13</v>
      </c>
      <c r="P106" t="s">
        <v>2803</v>
      </c>
      <c r="Q106" t="s">
        <v>1823</v>
      </c>
      <c r="R106" s="30" t="s">
        <v>2532</v>
      </c>
      <c r="S106" t="s">
        <v>2437</v>
      </c>
      <c r="T106">
        <v>103</v>
      </c>
      <c r="U106" t="s">
        <v>2438</v>
      </c>
      <c r="V106" t="s">
        <v>703</v>
      </c>
    </row>
    <row r="107" spans="1:26" x14ac:dyDescent="0.25">
      <c r="A107" t="s">
        <v>1909</v>
      </c>
      <c r="B107" t="s">
        <v>1910</v>
      </c>
      <c r="C107" t="s">
        <v>1716</v>
      </c>
      <c r="F107" t="str">
        <f t="shared" si="5"/>
        <v xml:space="preserve">FERNANDO </v>
      </c>
      <c r="I107" t="s">
        <v>700</v>
      </c>
      <c r="K107" t="str">
        <f t="shared" si="6"/>
        <v>H</v>
      </c>
      <c r="M107" t="s">
        <v>2410</v>
      </c>
      <c r="N107">
        <f t="shared" si="7"/>
        <v>13</v>
      </c>
      <c r="P107" t="s">
        <v>2804</v>
      </c>
      <c r="Q107" t="s">
        <v>2534</v>
      </c>
      <c r="R107" s="30" t="s">
        <v>2535</v>
      </c>
      <c r="S107" t="s">
        <v>2536</v>
      </c>
      <c r="T107" t="s">
        <v>2466</v>
      </c>
      <c r="U107">
        <v>9</v>
      </c>
      <c r="V107" t="s">
        <v>711</v>
      </c>
    </row>
    <row r="108" spans="1:26" x14ac:dyDescent="0.25">
      <c r="A108" t="s">
        <v>1826</v>
      </c>
      <c r="B108" t="s">
        <v>1777</v>
      </c>
      <c r="C108" t="s">
        <v>1911</v>
      </c>
      <c r="D108" t="s">
        <v>1762</v>
      </c>
      <c r="F108" t="str">
        <f t="shared" si="5"/>
        <v>LUCIO ARTURO</v>
      </c>
      <c r="I108" t="s">
        <v>707</v>
      </c>
      <c r="K108" t="str">
        <f t="shared" si="6"/>
        <v>H</v>
      </c>
      <c r="M108" t="s">
        <v>706</v>
      </c>
      <c r="N108">
        <f t="shared" si="7"/>
        <v>13</v>
      </c>
      <c r="P108" t="s">
        <v>2805</v>
      </c>
      <c r="Q108">
        <v>6</v>
      </c>
      <c r="R108" s="30" t="s">
        <v>2537</v>
      </c>
    </row>
    <row r="109" spans="1:26" x14ac:dyDescent="0.25">
      <c r="A109" t="s">
        <v>1912</v>
      </c>
      <c r="B109" t="s">
        <v>1913</v>
      </c>
      <c r="C109" t="s">
        <v>1914</v>
      </c>
      <c r="D109" t="s">
        <v>1915</v>
      </c>
      <c r="F109" t="str">
        <f t="shared" si="5"/>
        <v>AURELIO ERNESTO</v>
      </c>
      <c r="I109" t="s">
        <v>714</v>
      </c>
      <c r="K109" t="str">
        <f t="shared" si="6"/>
        <v>H</v>
      </c>
      <c r="M109" t="s">
        <v>713</v>
      </c>
      <c r="N109">
        <f t="shared" si="7"/>
        <v>13</v>
      </c>
      <c r="P109" t="s">
        <v>2806</v>
      </c>
      <c r="Q109" t="s">
        <v>1967</v>
      </c>
      <c r="R109" s="30" t="s">
        <v>1722</v>
      </c>
      <c r="S109">
        <v>2321</v>
      </c>
    </row>
    <row r="110" spans="1:26" x14ac:dyDescent="0.25">
      <c r="A110" t="s">
        <v>1916</v>
      </c>
      <c r="B110" t="s">
        <v>1917</v>
      </c>
      <c r="C110" t="s">
        <v>1784</v>
      </c>
      <c r="F110" t="str">
        <f t="shared" si="5"/>
        <v xml:space="preserve">JESUS </v>
      </c>
      <c r="I110" t="s">
        <v>721</v>
      </c>
      <c r="K110" t="str">
        <f t="shared" si="6"/>
        <v>H</v>
      </c>
      <c r="M110" t="s">
        <v>720</v>
      </c>
      <c r="N110">
        <f t="shared" si="7"/>
        <v>13</v>
      </c>
      <c r="P110" t="s">
        <v>2538</v>
      </c>
      <c r="Q110">
        <v>530</v>
      </c>
    </row>
    <row r="111" spans="1:26" x14ac:dyDescent="0.25">
      <c r="A111" t="s">
        <v>1918</v>
      </c>
      <c r="B111" t="s">
        <v>1919</v>
      </c>
      <c r="C111" t="s">
        <v>1920</v>
      </c>
      <c r="F111" t="str">
        <f t="shared" si="5"/>
        <v xml:space="preserve">RENE </v>
      </c>
      <c r="I111" t="s">
        <v>727</v>
      </c>
      <c r="K111" t="str">
        <f t="shared" si="6"/>
        <v>H</v>
      </c>
      <c r="M111" t="s">
        <v>726</v>
      </c>
      <c r="N111">
        <f t="shared" si="7"/>
        <v>13</v>
      </c>
      <c r="P111" t="s">
        <v>2807</v>
      </c>
      <c r="Q111">
        <v>8</v>
      </c>
      <c r="R111" s="30" t="s">
        <v>1823</v>
      </c>
      <c r="S111" t="s">
        <v>2539</v>
      </c>
      <c r="T111" t="s">
        <v>2437</v>
      </c>
      <c r="U111">
        <v>22</v>
      </c>
    </row>
    <row r="112" spans="1:26" x14ac:dyDescent="0.25">
      <c r="A112" t="s">
        <v>1921</v>
      </c>
      <c r="B112" t="s">
        <v>1922</v>
      </c>
      <c r="C112" t="s">
        <v>1923</v>
      </c>
      <c r="D112" t="s">
        <v>1924</v>
      </c>
      <c r="F112" t="str">
        <f t="shared" si="5"/>
        <v>ADOLFO GREGORIO</v>
      </c>
      <c r="I112" t="s">
        <v>734</v>
      </c>
      <c r="K112" t="str">
        <f t="shared" si="6"/>
        <v>H</v>
      </c>
      <c r="M112" t="s">
        <v>733</v>
      </c>
      <c r="N112">
        <f t="shared" si="7"/>
        <v>13</v>
      </c>
      <c r="P112" t="s">
        <v>2808</v>
      </c>
      <c r="Q112" t="s">
        <v>2540</v>
      </c>
      <c r="R112" s="30" t="s">
        <v>2434</v>
      </c>
      <c r="S112">
        <v>13</v>
      </c>
      <c r="T112" t="s">
        <v>2466</v>
      </c>
      <c r="U112">
        <v>4</v>
      </c>
    </row>
    <row r="113" spans="1:24" x14ac:dyDescent="0.25">
      <c r="A113" t="s">
        <v>1925</v>
      </c>
      <c r="B113" t="s">
        <v>1892</v>
      </c>
      <c r="C113" t="s">
        <v>1728</v>
      </c>
      <c r="D113" t="s">
        <v>1740</v>
      </c>
      <c r="F113" t="str">
        <f t="shared" si="5"/>
        <v>JOSE MANUEL</v>
      </c>
      <c r="I113" t="s">
        <v>739</v>
      </c>
      <c r="K113" t="str">
        <f t="shared" si="6"/>
        <v>H</v>
      </c>
      <c r="M113" t="s">
        <v>738</v>
      </c>
      <c r="N113">
        <f t="shared" si="7"/>
        <v>13</v>
      </c>
      <c r="P113" t="s">
        <v>2541</v>
      </c>
      <c r="Q113" t="s">
        <v>2434</v>
      </c>
      <c r="R113" s="30" t="s">
        <v>2542</v>
      </c>
      <c r="S113" t="s">
        <v>2543</v>
      </c>
    </row>
    <row r="114" spans="1:24" x14ac:dyDescent="0.25">
      <c r="A114" t="s">
        <v>1926</v>
      </c>
      <c r="B114" t="s">
        <v>1853</v>
      </c>
      <c r="C114" t="s">
        <v>1707</v>
      </c>
      <c r="D114" t="s">
        <v>1719</v>
      </c>
      <c r="F114" t="str">
        <f t="shared" si="5"/>
        <v>FRANCISCO JAVIER</v>
      </c>
      <c r="I114" t="s">
        <v>746</v>
      </c>
      <c r="K114" t="str">
        <f t="shared" si="6"/>
        <v>H</v>
      </c>
      <c r="M114" t="s">
        <v>745</v>
      </c>
      <c r="N114">
        <f t="shared" si="7"/>
        <v>13</v>
      </c>
      <c r="P114" t="s">
        <v>2544</v>
      </c>
      <c r="Q114">
        <v>27</v>
      </c>
    </row>
    <row r="115" spans="1:24" x14ac:dyDescent="0.25">
      <c r="A115" t="s">
        <v>1720</v>
      </c>
      <c r="B115" t="s">
        <v>1927</v>
      </c>
      <c r="C115" t="s">
        <v>1928</v>
      </c>
      <c r="F115" t="str">
        <f t="shared" si="5"/>
        <v xml:space="preserve">NOE </v>
      </c>
      <c r="I115" t="s">
        <v>752</v>
      </c>
      <c r="K115" t="str">
        <f t="shared" si="6"/>
        <v>H</v>
      </c>
      <c r="M115" t="s">
        <v>751</v>
      </c>
      <c r="N115">
        <f t="shared" si="7"/>
        <v>13</v>
      </c>
      <c r="P115" t="s">
        <v>2809</v>
      </c>
      <c r="Q115" t="s">
        <v>2545</v>
      </c>
      <c r="R115" s="30" t="s">
        <v>2546</v>
      </c>
      <c r="S115" t="s">
        <v>2547</v>
      </c>
      <c r="T115" t="s">
        <v>2464</v>
      </c>
      <c r="U115">
        <v>102</v>
      </c>
    </row>
    <row r="116" spans="1:24" x14ac:dyDescent="0.25">
      <c r="A116" t="s">
        <v>1929</v>
      </c>
      <c r="B116" t="s">
        <v>1870</v>
      </c>
      <c r="C116" t="s">
        <v>1802</v>
      </c>
      <c r="F116" t="str">
        <f t="shared" si="5"/>
        <v xml:space="preserve">ALBERTO </v>
      </c>
      <c r="I116" t="s">
        <v>759</v>
      </c>
      <c r="K116" t="str">
        <f t="shared" si="6"/>
        <v>H</v>
      </c>
      <c r="M116" t="s">
        <v>758</v>
      </c>
      <c r="N116">
        <f t="shared" si="7"/>
        <v>13</v>
      </c>
      <c r="P116" t="s">
        <v>2810</v>
      </c>
      <c r="Q116" t="s">
        <v>2438</v>
      </c>
      <c r="R116" s="30" t="s">
        <v>1884</v>
      </c>
      <c r="S116" t="s">
        <v>2455</v>
      </c>
      <c r="T116" t="s">
        <v>2437</v>
      </c>
      <c r="U116">
        <v>52</v>
      </c>
    </row>
    <row r="117" spans="1:24" x14ac:dyDescent="0.25">
      <c r="A117" t="s">
        <v>1930</v>
      </c>
      <c r="B117" t="s">
        <v>1931</v>
      </c>
      <c r="C117" t="s">
        <v>1737</v>
      </c>
      <c r="F117" t="str">
        <f t="shared" si="5"/>
        <v xml:space="preserve">OSCAR </v>
      </c>
      <c r="I117" t="s">
        <v>766</v>
      </c>
      <c r="K117" t="str">
        <f t="shared" si="6"/>
        <v>H</v>
      </c>
      <c r="M117" t="s">
        <v>765</v>
      </c>
      <c r="N117">
        <f t="shared" si="7"/>
        <v>13</v>
      </c>
      <c r="P117" t="s">
        <v>2811</v>
      </c>
      <c r="Q117" t="s">
        <v>2467</v>
      </c>
      <c r="R117" s="30" t="s">
        <v>2437</v>
      </c>
      <c r="S117">
        <v>405</v>
      </c>
    </row>
    <row r="118" spans="1:24" x14ac:dyDescent="0.25">
      <c r="A118" t="s">
        <v>1932</v>
      </c>
      <c r="B118" t="s">
        <v>1933</v>
      </c>
      <c r="C118" t="s">
        <v>1716</v>
      </c>
      <c r="F118" t="str">
        <f t="shared" si="5"/>
        <v xml:space="preserve">FERNANDO </v>
      </c>
      <c r="I118" t="s">
        <v>773</v>
      </c>
      <c r="K118" t="str">
        <f t="shared" si="6"/>
        <v>H</v>
      </c>
      <c r="M118" t="s">
        <v>772</v>
      </c>
      <c r="N118">
        <f t="shared" si="7"/>
        <v>13</v>
      </c>
      <c r="P118" t="s">
        <v>2812</v>
      </c>
      <c r="Q118" t="s">
        <v>2548</v>
      </c>
      <c r="R118" s="30" t="s">
        <v>2437</v>
      </c>
      <c r="S118">
        <v>37</v>
      </c>
    </row>
    <row r="119" spans="1:24" x14ac:dyDescent="0.25">
      <c r="A119" t="s">
        <v>1934</v>
      </c>
      <c r="B119" t="s">
        <v>1822</v>
      </c>
      <c r="C119" t="s">
        <v>1707</v>
      </c>
      <c r="F119" t="str">
        <f t="shared" si="5"/>
        <v xml:space="preserve">FRANCISCO </v>
      </c>
      <c r="I119" t="s">
        <v>779</v>
      </c>
      <c r="K119" t="str">
        <f t="shared" si="6"/>
        <v>H</v>
      </c>
      <c r="M119" t="s">
        <v>778</v>
      </c>
      <c r="N119">
        <f t="shared" si="7"/>
        <v>13</v>
      </c>
      <c r="P119" t="s">
        <v>2549</v>
      </c>
      <c r="Q119" t="s">
        <v>2434</v>
      </c>
      <c r="R119" s="30">
        <v>423</v>
      </c>
      <c r="S119" t="s">
        <v>2466</v>
      </c>
      <c r="T119">
        <v>5</v>
      </c>
    </row>
    <row r="120" spans="1:24" x14ac:dyDescent="0.25">
      <c r="A120" t="s">
        <v>1935</v>
      </c>
      <c r="B120" t="s">
        <v>1936</v>
      </c>
      <c r="C120" t="s">
        <v>1702</v>
      </c>
      <c r="D120" t="s">
        <v>1937</v>
      </c>
      <c r="F120" t="str">
        <f t="shared" si="5"/>
        <v>LUIS ALEXANDER</v>
      </c>
      <c r="I120" t="s">
        <v>785</v>
      </c>
      <c r="K120" t="str">
        <f t="shared" si="6"/>
        <v>H</v>
      </c>
      <c r="M120" t="s">
        <v>784</v>
      </c>
      <c r="N120">
        <f t="shared" si="7"/>
        <v>13</v>
      </c>
      <c r="P120" t="s">
        <v>2550</v>
      </c>
      <c r="Q120" t="s">
        <v>2434</v>
      </c>
      <c r="R120" s="30">
        <v>12</v>
      </c>
      <c r="S120" t="s">
        <v>2466</v>
      </c>
      <c r="T120">
        <v>8</v>
      </c>
    </row>
    <row r="121" spans="1:24" x14ac:dyDescent="0.25">
      <c r="A121" t="s">
        <v>1739</v>
      </c>
      <c r="B121" t="s">
        <v>1838</v>
      </c>
      <c r="C121" t="s">
        <v>1938</v>
      </c>
      <c r="F121" t="str">
        <f t="shared" si="5"/>
        <v xml:space="preserve">AARON </v>
      </c>
      <c r="I121" t="s">
        <v>791</v>
      </c>
      <c r="K121" t="str">
        <f t="shared" si="6"/>
        <v>H</v>
      </c>
      <c r="M121" t="s">
        <v>790</v>
      </c>
      <c r="N121">
        <f t="shared" si="7"/>
        <v>13</v>
      </c>
      <c r="P121" t="s">
        <v>2813</v>
      </c>
      <c r="Q121" t="s">
        <v>2482</v>
      </c>
      <c r="R121" s="30" t="s">
        <v>193</v>
      </c>
      <c r="S121" t="s">
        <v>13</v>
      </c>
    </row>
    <row r="122" spans="1:24" x14ac:dyDescent="0.25">
      <c r="A122" t="s">
        <v>1939</v>
      </c>
      <c r="B122" t="s">
        <v>1940</v>
      </c>
      <c r="C122" t="s">
        <v>1756</v>
      </c>
      <c r="F122" t="str">
        <f t="shared" si="5"/>
        <v xml:space="preserve">SALVADOR </v>
      </c>
      <c r="I122" t="s">
        <v>796</v>
      </c>
      <c r="K122" t="str">
        <f t="shared" si="6"/>
        <v>H</v>
      </c>
      <c r="M122" t="s">
        <v>795</v>
      </c>
      <c r="N122">
        <f t="shared" si="7"/>
        <v>13</v>
      </c>
      <c r="P122" t="s">
        <v>2814</v>
      </c>
      <c r="Q122" t="s">
        <v>1823</v>
      </c>
      <c r="R122" s="30" t="s">
        <v>2551</v>
      </c>
      <c r="S122" t="s">
        <v>2437</v>
      </c>
      <c r="T122">
        <v>48</v>
      </c>
    </row>
    <row r="123" spans="1:24" x14ac:dyDescent="0.25">
      <c r="A123" t="s">
        <v>1941</v>
      </c>
      <c r="B123" t="s">
        <v>1713</v>
      </c>
      <c r="C123" t="s">
        <v>1728</v>
      </c>
      <c r="D123" t="s">
        <v>1703</v>
      </c>
      <c r="F123" t="str">
        <f t="shared" si="5"/>
        <v>JOSE ANTONIO</v>
      </c>
      <c r="I123" t="s">
        <v>2310</v>
      </c>
      <c r="K123" t="str">
        <f t="shared" si="6"/>
        <v>H</v>
      </c>
      <c r="M123" t="s">
        <v>801</v>
      </c>
      <c r="N123">
        <f t="shared" si="7"/>
        <v>13</v>
      </c>
      <c r="P123" t="s">
        <v>2815</v>
      </c>
      <c r="Q123" t="s">
        <v>2552</v>
      </c>
      <c r="R123" s="30" t="s">
        <v>2441</v>
      </c>
    </row>
    <row r="124" spans="1:24" x14ac:dyDescent="0.25">
      <c r="A124" t="s">
        <v>1942</v>
      </c>
      <c r="B124" t="s">
        <v>1943</v>
      </c>
      <c r="C124" t="s">
        <v>1889</v>
      </c>
      <c r="F124" t="str">
        <f t="shared" si="5"/>
        <v xml:space="preserve">ANGEL </v>
      </c>
      <c r="I124" t="s">
        <v>809</v>
      </c>
      <c r="K124" t="str">
        <f t="shared" si="6"/>
        <v>H</v>
      </c>
      <c r="M124" t="s">
        <v>808</v>
      </c>
      <c r="N124">
        <f t="shared" si="7"/>
        <v>13</v>
      </c>
      <c r="P124" t="s">
        <v>2816</v>
      </c>
      <c r="Q124" t="s">
        <v>1829</v>
      </c>
      <c r="R124" s="30" t="s">
        <v>2554</v>
      </c>
      <c r="S124" t="s">
        <v>2472</v>
      </c>
      <c r="T124" t="s">
        <v>2555</v>
      </c>
      <c r="V124" t="s">
        <v>820</v>
      </c>
    </row>
    <row r="125" spans="1:24" x14ac:dyDescent="0.25">
      <c r="A125" t="s">
        <v>1783</v>
      </c>
      <c r="B125" t="s">
        <v>1944</v>
      </c>
      <c r="C125" t="s">
        <v>1945</v>
      </c>
      <c r="F125" t="str">
        <f t="shared" si="5"/>
        <v xml:space="preserve">OMAR </v>
      </c>
      <c r="I125" t="s">
        <v>816</v>
      </c>
      <c r="K125" t="str">
        <f t="shared" si="6"/>
        <v>H</v>
      </c>
      <c r="M125" t="s">
        <v>815</v>
      </c>
      <c r="N125">
        <f t="shared" si="7"/>
        <v>13</v>
      </c>
      <c r="P125" t="s">
        <v>2817</v>
      </c>
      <c r="Q125" t="s">
        <v>2556</v>
      </c>
      <c r="R125" s="30" t="s">
        <v>2557</v>
      </c>
    </row>
    <row r="126" spans="1:24" x14ac:dyDescent="0.25">
      <c r="A126" t="s">
        <v>1783</v>
      </c>
      <c r="B126" t="s">
        <v>1822</v>
      </c>
      <c r="C126" t="s">
        <v>1945</v>
      </c>
      <c r="D126" t="s">
        <v>1774</v>
      </c>
      <c r="F126" t="str">
        <f t="shared" si="5"/>
        <v>OMAR MARTIN</v>
      </c>
      <c r="I126" t="s">
        <v>823</v>
      </c>
      <c r="K126" t="str">
        <f t="shared" si="6"/>
        <v>H</v>
      </c>
      <c r="M126" t="s">
        <v>822</v>
      </c>
      <c r="N126">
        <f t="shared" si="7"/>
        <v>13</v>
      </c>
      <c r="P126" t="s">
        <v>2818</v>
      </c>
      <c r="Q126" t="s">
        <v>2559</v>
      </c>
      <c r="R126" s="30" t="s">
        <v>2560</v>
      </c>
      <c r="S126" t="s">
        <v>2561</v>
      </c>
      <c r="T126" t="s">
        <v>2464</v>
      </c>
      <c r="U126" t="s">
        <v>2562</v>
      </c>
    </row>
    <row r="127" spans="1:24" x14ac:dyDescent="0.25">
      <c r="A127" t="s">
        <v>1713</v>
      </c>
      <c r="B127" t="s">
        <v>1946</v>
      </c>
      <c r="C127" t="s">
        <v>1947</v>
      </c>
      <c r="F127" t="str">
        <f t="shared" si="5"/>
        <v xml:space="preserve">MOISES </v>
      </c>
      <c r="I127" t="s">
        <v>830</v>
      </c>
      <c r="K127" t="str">
        <f t="shared" si="6"/>
        <v>H</v>
      </c>
      <c r="M127" t="s">
        <v>829</v>
      </c>
      <c r="N127">
        <f t="shared" si="7"/>
        <v>13</v>
      </c>
      <c r="P127" t="s">
        <v>2819</v>
      </c>
      <c r="Q127" t="s">
        <v>2483</v>
      </c>
      <c r="R127" s="30" t="s">
        <v>2484</v>
      </c>
      <c r="S127" t="s">
        <v>2437</v>
      </c>
      <c r="T127">
        <v>152</v>
      </c>
      <c r="U127" t="s">
        <v>2434</v>
      </c>
      <c r="W127" t="s">
        <v>2466</v>
      </c>
      <c r="X127">
        <v>6</v>
      </c>
    </row>
    <row r="128" spans="1:24" x14ac:dyDescent="0.25">
      <c r="A128" t="s">
        <v>1713</v>
      </c>
      <c r="B128" t="s">
        <v>1948</v>
      </c>
      <c r="C128" t="s">
        <v>1949</v>
      </c>
      <c r="F128" t="str">
        <f t="shared" si="5"/>
        <v xml:space="preserve">WALTER </v>
      </c>
      <c r="I128" t="s">
        <v>836</v>
      </c>
      <c r="K128" t="str">
        <f t="shared" si="6"/>
        <v>H</v>
      </c>
      <c r="M128" t="s">
        <v>835</v>
      </c>
      <c r="N128">
        <f t="shared" si="7"/>
        <v>13</v>
      </c>
      <c r="P128" t="s">
        <v>2820</v>
      </c>
      <c r="Q128">
        <v>13</v>
      </c>
      <c r="R128" s="30" t="s">
        <v>2563</v>
      </c>
      <c r="S128">
        <v>36</v>
      </c>
      <c r="T128" t="s">
        <v>2487</v>
      </c>
      <c r="U128">
        <v>38</v>
      </c>
      <c r="W128">
        <v>473</v>
      </c>
    </row>
    <row r="129" spans="1:24" x14ac:dyDescent="0.25">
      <c r="A129" t="s">
        <v>1713</v>
      </c>
      <c r="B129" t="s">
        <v>1773</v>
      </c>
      <c r="C129" t="s">
        <v>1771</v>
      </c>
      <c r="F129" t="str">
        <f t="shared" si="5"/>
        <v xml:space="preserve">FELIX </v>
      </c>
      <c r="I129" t="s">
        <v>843</v>
      </c>
      <c r="K129" t="str">
        <f t="shared" si="6"/>
        <v>H</v>
      </c>
      <c r="M129" t="s">
        <v>842</v>
      </c>
      <c r="N129">
        <f t="shared" si="7"/>
        <v>13</v>
      </c>
      <c r="P129" t="s">
        <v>2564</v>
      </c>
      <c r="Q129" t="s">
        <v>2437</v>
      </c>
      <c r="R129" s="30">
        <v>18</v>
      </c>
    </row>
    <row r="130" spans="1:24" x14ac:dyDescent="0.25">
      <c r="A130" t="s">
        <v>1713</v>
      </c>
      <c r="B130" t="s">
        <v>1765</v>
      </c>
      <c r="C130" t="s">
        <v>1737</v>
      </c>
      <c r="F130" t="str">
        <f t="shared" si="5"/>
        <v xml:space="preserve">OSCAR </v>
      </c>
      <c r="I130" t="s">
        <v>848</v>
      </c>
      <c r="K130" t="str">
        <f t="shared" si="6"/>
        <v>H</v>
      </c>
      <c r="M130" t="s">
        <v>847</v>
      </c>
      <c r="N130">
        <f t="shared" si="7"/>
        <v>13</v>
      </c>
      <c r="P130" t="s">
        <v>2821</v>
      </c>
      <c r="Q130" t="s">
        <v>2565</v>
      </c>
      <c r="R130" s="30" t="s">
        <v>2566</v>
      </c>
      <c r="S130">
        <v>19</v>
      </c>
      <c r="T130" t="s">
        <v>2504</v>
      </c>
      <c r="U130">
        <v>9</v>
      </c>
    </row>
    <row r="131" spans="1:24" x14ac:dyDescent="0.25">
      <c r="A131" t="s">
        <v>1713</v>
      </c>
      <c r="B131" t="s">
        <v>1950</v>
      </c>
      <c r="C131" t="s">
        <v>1782</v>
      </c>
      <c r="D131" t="s">
        <v>1703</v>
      </c>
      <c r="F131" t="str">
        <f t="shared" si="5"/>
        <v>VICTOR ANTONIO</v>
      </c>
      <c r="I131" t="s">
        <v>854</v>
      </c>
      <c r="K131" t="str">
        <f t="shared" si="6"/>
        <v>H</v>
      </c>
      <c r="M131" t="s">
        <v>853</v>
      </c>
      <c r="N131">
        <f t="shared" si="7"/>
        <v>13</v>
      </c>
      <c r="P131" t="s">
        <v>2822</v>
      </c>
      <c r="Q131" t="s">
        <v>2567</v>
      </c>
      <c r="R131" s="30" t="s">
        <v>2437</v>
      </c>
      <c r="S131">
        <v>27</v>
      </c>
    </row>
    <row r="132" spans="1:24" x14ac:dyDescent="0.25">
      <c r="A132" t="s">
        <v>1713</v>
      </c>
      <c r="B132" t="s">
        <v>1838</v>
      </c>
      <c r="C132" t="s">
        <v>1702</v>
      </c>
      <c r="D132" t="s">
        <v>1821</v>
      </c>
      <c r="F132" t="str">
        <f t="shared" ref="F132:F196" si="10">CONCATENATE(C132," ",D132)</f>
        <v>LUIS ALFREDO</v>
      </c>
      <c r="I132" t="s">
        <v>861</v>
      </c>
      <c r="K132" t="str">
        <f t="shared" ref="K132:K196" si="11">MID(I132,11,1)</f>
        <v>H</v>
      </c>
      <c r="M132" t="s">
        <v>860</v>
      </c>
      <c r="N132">
        <f t="shared" ref="N132:N196" si="12">LEN(M132)</f>
        <v>13</v>
      </c>
      <c r="P132" t="s">
        <v>2823</v>
      </c>
      <c r="Q132" t="s">
        <v>2568</v>
      </c>
      <c r="R132" s="30" t="s">
        <v>2437</v>
      </c>
      <c r="S132" t="s">
        <v>2569</v>
      </c>
      <c r="V132" t="s">
        <v>872</v>
      </c>
    </row>
    <row r="133" spans="1:24" x14ac:dyDescent="0.25">
      <c r="A133" t="s">
        <v>1713</v>
      </c>
      <c r="B133" t="s">
        <v>1731</v>
      </c>
      <c r="C133" t="s">
        <v>1706</v>
      </c>
      <c r="D133" t="s">
        <v>1761</v>
      </c>
      <c r="F133" t="str">
        <f t="shared" si="10"/>
        <v>JUAN RAMON</v>
      </c>
      <c r="I133" t="s">
        <v>868</v>
      </c>
      <c r="K133" t="str">
        <f t="shared" si="11"/>
        <v>H</v>
      </c>
      <c r="M133" t="s">
        <v>867</v>
      </c>
      <c r="N133">
        <f t="shared" si="12"/>
        <v>13</v>
      </c>
      <c r="P133" t="s">
        <v>2570</v>
      </c>
      <c r="Q133" t="s">
        <v>2451</v>
      </c>
      <c r="R133" s="30">
        <v>4</v>
      </c>
    </row>
    <row r="134" spans="1:24" x14ac:dyDescent="0.25">
      <c r="A134" t="s">
        <v>1792</v>
      </c>
      <c r="B134" t="s">
        <v>1699</v>
      </c>
      <c r="C134" t="s">
        <v>1794</v>
      </c>
      <c r="F134" t="str">
        <f t="shared" si="10"/>
        <v xml:space="preserve">ARNULFO </v>
      </c>
      <c r="I134" t="s">
        <v>875</v>
      </c>
      <c r="K134" t="str">
        <f t="shared" si="11"/>
        <v>H</v>
      </c>
      <c r="M134" t="s">
        <v>874</v>
      </c>
      <c r="N134">
        <f t="shared" si="12"/>
        <v>13</v>
      </c>
      <c r="P134" t="s">
        <v>2824</v>
      </c>
      <c r="Q134" t="s">
        <v>2571</v>
      </c>
      <c r="R134" s="30" t="s">
        <v>2572</v>
      </c>
      <c r="S134" t="s">
        <v>2451</v>
      </c>
      <c r="T134">
        <v>990</v>
      </c>
    </row>
    <row r="135" spans="1:24" x14ac:dyDescent="0.25">
      <c r="A135" t="s">
        <v>1765</v>
      </c>
      <c r="B135" t="s">
        <v>1951</v>
      </c>
      <c r="C135" t="s">
        <v>1874</v>
      </c>
      <c r="F135" t="str">
        <f t="shared" si="10"/>
        <v xml:space="preserve">EDGAR </v>
      </c>
      <c r="I135" t="s">
        <v>881</v>
      </c>
      <c r="K135" t="str">
        <f t="shared" si="11"/>
        <v>H</v>
      </c>
      <c r="M135" t="s">
        <v>880</v>
      </c>
      <c r="N135">
        <f t="shared" si="12"/>
        <v>13</v>
      </c>
      <c r="P135" t="s">
        <v>2573</v>
      </c>
      <c r="Q135" t="s">
        <v>2574</v>
      </c>
      <c r="R135" s="30" t="s">
        <v>2575</v>
      </c>
      <c r="S135" t="s">
        <v>2489</v>
      </c>
      <c r="T135">
        <v>3</v>
      </c>
    </row>
    <row r="136" spans="1:24" x14ac:dyDescent="0.25">
      <c r="A136" t="s">
        <v>1952</v>
      </c>
      <c r="B136" t="s">
        <v>1713</v>
      </c>
      <c r="C136" t="s">
        <v>1707</v>
      </c>
      <c r="D136" t="s">
        <v>1719</v>
      </c>
      <c r="F136" t="str">
        <f t="shared" si="10"/>
        <v>FRANCISCO JAVIER</v>
      </c>
      <c r="I136" t="s">
        <v>888</v>
      </c>
      <c r="K136" t="str">
        <f t="shared" si="11"/>
        <v>H</v>
      </c>
      <c r="M136" t="s">
        <v>887</v>
      </c>
      <c r="N136">
        <f t="shared" si="12"/>
        <v>13</v>
      </c>
      <c r="P136" t="s">
        <v>2825</v>
      </c>
      <c r="Q136" t="s">
        <v>2576</v>
      </c>
      <c r="R136" s="30" t="s">
        <v>2451</v>
      </c>
      <c r="S136">
        <v>469</v>
      </c>
    </row>
    <row r="137" spans="1:24" x14ac:dyDescent="0.25">
      <c r="A137" t="s">
        <v>1953</v>
      </c>
      <c r="B137" t="s">
        <v>1765</v>
      </c>
      <c r="C137" t="s">
        <v>1706</v>
      </c>
      <c r="D137" t="s">
        <v>1791</v>
      </c>
      <c r="F137" t="str">
        <f t="shared" si="10"/>
        <v>JUAN CARLOS</v>
      </c>
      <c r="I137" t="s">
        <v>895</v>
      </c>
      <c r="K137" t="str">
        <f t="shared" si="11"/>
        <v>H</v>
      </c>
      <c r="M137" t="s">
        <v>894</v>
      </c>
      <c r="N137">
        <f t="shared" si="12"/>
        <v>13</v>
      </c>
      <c r="P137" t="s">
        <v>2826</v>
      </c>
      <c r="Q137" t="s">
        <v>2577</v>
      </c>
      <c r="R137" s="30" t="s">
        <v>1823</v>
      </c>
      <c r="S137" t="s">
        <v>2459</v>
      </c>
      <c r="T137" t="s">
        <v>2451</v>
      </c>
      <c r="U137">
        <v>6</v>
      </c>
    </row>
    <row r="138" spans="1:24" x14ac:dyDescent="0.25">
      <c r="A138" t="s">
        <v>1954</v>
      </c>
      <c r="B138" t="s">
        <v>1713</v>
      </c>
      <c r="C138" t="s">
        <v>1955</v>
      </c>
      <c r="D138" t="s">
        <v>1710</v>
      </c>
      <c r="F138" t="str">
        <f t="shared" si="10"/>
        <v>SOTERO ALEJANDRO</v>
      </c>
      <c r="I138" t="s">
        <v>901</v>
      </c>
      <c r="K138" t="str">
        <f t="shared" si="11"/>
        <v>H</v>
      </c>
      <c r="M138" t="s">
        <v>900</v>
      </c>
      <c r="N138">
        <f t="shared" si="12"/>
        <v>13</v>
      </c>
      <c r="P138" t="s">
        <v>2827</v>
      </c>
      <c r="Q138" t="s">
        <v>2578</v>
      </c>
      <c r="R138" s="30" t="s">
        <v>1834</v>
      </c>
      <c r="S138" t="s">
        <v>2434</v>
      </c>
      <c r="T138">
        <v>2</v>
      </c>
      <c r="U138" t="s">
        <v>2466</v>
      </c>
      <c r="W138" t="s">
        <v>2512</v>
      </c>
      <c r="X138">
        <v>4</v>
      </c>
    </row>
    <row r="139" spans="1:24" x14ac:dyDescent="0.25">
      <c r="A139" t="s">
        <v>1956</v>
      </c>
      <c r="B139" t="s">
        <v>1957</v>
      </c>
      <c r="C139" t="s">
        <v>1728</v>
      </c>
      <c r="D139" t="s">
        <v>1737</v>
      </c>
      <c r="F139" t="str">
        <f t="shared" si="10"/>
        <v>JOSE OSCAR</v>
      </c>
      <c r="I139" t="s">
        <v>908</v>
      </c>
      <c r="K139" t="str">
        <f t="shared" si="11"/>
        <v>H</v>
      </c>
      <c r="M139" t="s">
        <v>907</v>
      </c>
      <c r="N139">
        <f t="shared" si="12"/>
        <v>13</v>
      </c>
      <c r="P139" t="s">
        <v>2828</v>
      </c>
      <c r="Q139" t="s">
        <v>2579</v>
      </c>
      <c r="R139" s="30" t="s">
        <v>2580</v>
      </c>
      <c r="S139" t="s">
        <v>2437</v>
      </c>
      <c r="T139">
        <v>17</v>
      </c>
    </row>
    <row r="140" spans="1:24" x14ac:dyDescent="0.25">
      <c r="A140" t="s">
        <v>1724</v>
      </c>
      <c r="B140" t="s">
        <v>1958</v>
      </c>
      <c r="C140" t="s">
        <v>1959</v>
      </c>
      <c r="F140" t="str">
        <f t="shared" si="10"/>
        <v xml:space="preserve">CIRILO </v>
      </c>
      <c r="I140" t="s">
        <v>914</v>
      </c>
      <c r="K140" t="str">
        <f t="shared" si="11"/>
        <v>H</v>
      </c>
      <c r="M140" t="s">
        <v>913</v>
      </c>
      <c r="N140">
        <f t="shared" si="12"/>
        <v>13</v>
      </c>
      <c r="P140" t="s">
        <v>230</v>
      </c>
      <c r="Q140" t="s">
        <v>2437</v>
      </c>
      <c r="R140" s="30">
        <v>14</v>
      </c>
    </row>
    <row r="141" spans="1:24" x14ac:dyDescent="0.25">
      <c r="A141" t="s">
        <v>1744</v>
      </c>
      <c r="B141" t="s">
        <v>1713</v>
      </c>
      <c r="C141" t="s">
        <v>1960</v>
      </c>
      <c r="F141" t="str">
        <f t="shared" si="10"/>
        <v xml:space="preserve">ELIAS </v>
      </c>
      <c r="I141" t="s">
        <v>921</v>
      </c>
      <c r="K141" t="str">
        <f t="shared" si="11"/>
        <v>H</v>
      </c>
      <c r="M141" t="s">
        <v>920</v>
      </c>
      <c r="N141">
        <f t="shared" si="12"/>
        <v>13</v>
      </c>
      <c r="P141" t="s">
        <v>2829</v>
      </c>
      <c r="Q141" t="s">
        <v>2471</v>
      </c>
      <c r="R141" s="30" t="s">
        <v>1823</v>
      </c>
      <c r="S141" t="s">
        <v>2449</v>
      </c>
      <c r="T141" t="s">
        <v>2581</v>
      </c>
      <c r="U141" t="s">
        <v>2582</v>
      </c>
    </row>
    <row r="142" spans="1:24" x14ac:dyDescent="0.25">
      <c r="A142" t="s">
        <v>1961</v>
      </c>
      <c r="B142" t="s">
        <v>1962</v>
      </c>
      <c r="C142" t="s">
        <v>1714</v>
      </c>
      <c r="F142" t="str">
        <f t="shared" si="10"/>
        <v xml:space="preserve">ALFONSO </v>
      </c>
      <c r="I142" t="s">
        <v>928</v>
      </c>
      <c r="K142" t="str">
        <f t="shared" si="11"/>
        <v>H</v>
      </c>
      <c r="M142" t="s">
        <v>927</v>
      </c>
      <c r="N142">
        <f t="shared" si="12"/>
        <v>13</v>
      </c>
      <c r="P142" t="s">
        <v>2830</v>
      </c>
      <c r="Q142" t="s">
        <v>223</v>
      </c>
      <c r="R142" s="30" t="s">
        <v>2557</v>
      </c>
    </row>
    <row r="143" spans="1:24" x14ac:dyDescent="0.25">
      <c r="A143" t="s">
        <v>1862</v>
      </c>
      <c r="B143" t="s">
        <v>1862</v>
      </c>
      <c r="C143" t="s">
        <v>1963</v>
      </c>
      <c r="F143" t="str">
        <f t="shared" si="10"/>
        <v xml:space="preserve">ISAIAS </v>
      </c>
      <c r="I143" t="s">
        <v>935</v>
      </c>
      <c r="K143" t="str">
        <f t="shared" si="11"/>
        <v>H</v>
      </c>
      <c r="M143" t="s">
        <v>934</v>
      </c>
      <c r="N143">
        <f t="shared" si="12"/>
        <v>13</v>
      </c>
      <c r="P143" t="s">
        <v>2831</v>
      </c>
      <c r="Q143" t="s">
        <v>2583</v>
      </c>
      <c r="R143" s="30" t="s">
        <v>2437</v>
      </c>
      <c r="S143">
        <v>47</v>
      </c>
    </row>
    <row r="144" spans="1:24" x14ac:dyDescent="0.25">
      <c r="A144" t="s">
        <v>1964</v>
      </c>
      <c r="B144" t="s">
        <v>1944</v>
      </c>
      <c r="C144" t="s">
        <v>1702</v>
      </c>
      <c r="D144" t="s">
        <v>1797</v>
      </c>
      <c r="F144" t="str">
        <f t="shared" si="10"/>
        <v>LUIS ENRIQUE</v>
      </c>
      <c r="I144" t="s">
        <v>942</v>
      </c>
      <c r="K144" t="str">
        <f t="shared" si="11"/>
        <v>H</v>
      </c>
      <c r="M144" t="s">
        <v>941</v>
      </c>
      <c r="N144">
        <f t="shared" si="12"/>
        <v>13</v>
      </c>
      <c r="P144" t="s">
        <v>2832</v>
      </c>
      <c r="Q144" t="s">
        <v>1823</v>
      </c>
      <c r="R144" s="30" t="s">
        <v>2584</v>
      </c>
      <c r="S144" t="s">
        <v>2451</v>
      </c>
      <c r="T144">
        <v>81</v>
      </c>
    </row>
    <row r="145" spans="1:22" x14ac:dyDescent="0.25">
      <c r="A145" t="s">
        <v>1965</v>
      </c>
      <c r="B145" t="s">
        <v>1705</v>
      </c>
      <c r="C145" t="s">
        <v>1740</v>
      </c>
      <c r="D145" t="s">
        <v>1703</v>
      </c>
      <c r="F145" t="str">
        <f t="shared" si="10"/>
        <v>MANUEL ANTONIO</v>
      </c>
      <c r="I145" t="s">
        <v>948</v>
      </c>
      <c r="K145" t="str">
        <f t="shared" si="11"/>
        <v>H</v>
      </c>
      <c r="M145" t="s">
        <v>947</v>
      </c>
      <c r="N145">
        <f t="shared" si="12"/>
        <v>13</v>
      </c>
      <c r="P145" t="s">
        <v>2833</v>
      </c>
      <c r="Q145" t="s">
        <v>2585</v>
      </c>
      <c r="R145" s="30" t="s">
        <v>13</v>
      </c>
    </row>
    <row r="146" spans="1:22" x14ac:dyDescent="0.25">
      <c r="A146" t="s">
        <v>1850</v>
      </c>
      <c r="B146" t="s">
        <v>1966</v>
      </c>
      <c r="C146" t="s">
        <v>1728</v>
      </c>
      <c r="D146" t="s">
        <v>1967</v>
      </c>
      <c r="E146" t="s">
        <v>1968</v>
      </c>
      <c r="F146" t="str">
        <f t="shared" si="10"/>
        <v>JOSE DEL</v>
      </c>
      <c r="I146" t="s">
        <v>954</v>
      </c>
      <c r="K146" t="str">
        <f t="shared" si="11"/>
        <v>H</v>
      </c>
      <c r="M146" t="s">
        <v>953</v>
      </c>
      <c r="N146">
        <f t="shared" si="12"/>
        <v>13</v>
      </c>
      <c r="P146" t="s">
        <v>2834</v>
      </c>
      <c r="Q146" t="s">
        <v>1773</v>
      </c>
      <c r="R146" s="30" t="s">
        <v>2437</v>
      </c>
      <c r="S146">
        <v>970</v>
      </c>
    </row>
    <row r="147" spans="1:22" x14ac:dyDescent="0.25">
      <c r="A147" t="s">
        <v>1969</v>
      </c>
      <c r="B147" t="s">
        <v>1840</v>
      </c>
      <c r="C147" t="s">
        <v>1804</v>
      </c>
      <c r="F147" t="str">
        <f t="shared" si="10"/>
        <v xml:space="preserve">EDUARDO </v>
      </c>
      <c r="I147" t="s">
        <v>960</v>
      </c>
      <c r="K147" t="str">
        <f t="shared" si="11"/>
        <v>H</v>
      </c>
      <c r="M147" t="s">
        <v>959</v>
      </c>
      <c r="N147">
        <f t="shared" si="12"/>
        <v>13</v>
      </c>
      <c r="P147" t="s">
        <v>2586</v>
      </c>
      <c r="Q147" t="s">
        <v>13</v>
      </c>
      <c r="V147" t="s">
        <v>972</v>
      </c>
    </row>
    <row r="148" spans="1:22" x14ac:dyDescent="0.25">
      <c r="A148" t="s">
        <v>1715</v>
      </c>
      <c r="B148" t="s">
        <v>1739</v>
      </c>
      <c r="C148" t="s">
        <v>1970</v>
      </c>
      <c r="F148" t="str">
        <f t="shared" si="10"/>
        <v xml:space="preserve">AGUSTIN </v>
      </c>
      <c r="I148" t="s">
        <v>968</v>
      </c>
      <c r="K148" t="str">
        <f t="shared" si="11"/>
        <v>H</v>
      </c>
      <c r="M148" t="s">
        <v>967</v>
      </c>
      <c r="N148">
        <f t="shared" si="12"/>
        <v>13</v>
      </c>
      <c r="P148" t="s">
        <v>2835</v>
      </c>
      <c r="Q148" t="s">
        <v>2587</v>
      </c>
      <c r="R148" s="30" t="s">
        <v>2588</v>
      </c>
      <c r="S148">
        <v>106</v>
      </c>
      <c r="V148" t="s">
        <v>12</v>
      </c>
    </row>
    <row r="149" spans="1:22" x14ac:dyDescent="0.25">
      <c r="A149" t="s">
        <v>1971</v>
      </c>
      <c r="B149" t="s">
        <v>1931</v>
      </c>
      <c r="F149" t="str">
        <f t="shared" si="10"/>
        <v xml:space="preserve"> </v>
      </c>
      <c r="I149" t="s">
        <v>12</v>
      </c>
      <c r="K149" t="str">
        <f t="shared" si="11"/>
        <v/>
      </c>
      <c r="M149" t="s">
        <v>12</v>
      </c>
      <c r="N149">
        <f t="shared" si="12"/>
        <v>3</v>
      </c>
      <c r="P149" t="s">
        <v>12</v>
      </c>
      <c r="V149">
        <v>0</v>
      </c>
    </row>
    <row r="150" spans="1:22" x14ac:dyDescent="0.25">
      <c r="A150" t="s">
        <v>1927</v>
      </c>
      <c r="B150" t="s">
        <v>1927</v>
      </c>
      <c r="C150" t="s">
        <v>1728</v>
      </c>
      <c r="D150" t="s">
        <v>1703</v>
      </c>
      <c r="F150" t="str">
        <f t="shared" si="10"/>
        <v>JOSE ANTONIO</v>
      </c>
      <c r="I150" t="s">
        <v>12</v>
      </c>
      <c r="K150" t="str">
        <f t="shared" si="11"/>
        <v/>
      </c>
      <c r="M150" t="s">
        <v>12</v>
      </c>
      <c r="N150">
        <f t="shared" si="12"/>
        <v>3</v>
      </c>
      <c r="P150" t="s">
        <v>12</v>
      </c>
      <c r="V150" t="s">
        <v>980</v>
      </c>
    </row>
    <row r="151" spans="1:22" x14ac:dyDescent="0.25">
      <c r="A151" t="s">
        <v>1972</v>
      </c>
      <c r="B151" t="s">
        <v>1952</v>
      </c>
      <c r="C151" t="s">
        <v>1761</v>
      </c>
      <c r="F151" t="str">
        <f t="shared" si="10"/>
        <v xml:space="preserve">RAMON </v>
      </c>
      <c r="I151" t="s">
        <v>978</v>
      </c>
      <c r="K151" t="str">
        <f t="shared" si="11"/>
        <v>H</v>
      </c>
      <c r="M151" t="s">
        <v>977</v>
      </c>
      <c r="N151">
        <f t="shared" si="12"/>
        <v>13</v>
      </c>
      <c r="P151" t="s">
        <v>103</v>
      </c>
      <c r="Q151" t="s">
        <v>133</v>
      </c>
      <c r="R151" s="30">
        <v>16</v>
      </c>
    </row>
    <row r="152" spans="1:22" x14ac:dyDescent="0.25">
      <c r="A152" t="s">
        <v>1973</v>
      </c>
      <c r="B152" t="s">
        <v>1974</v>
      </c>
      <c r="C152" t="s">
        <v>1975</v>
      </c>
      <c r="F152" t="str">
        <f t="shared" si="10"/>
        <v xml:space="preserve">Sergio </v>
      </c>
      <c r="I152" t="s">
        <v>987</v>
      </c>
      <c r="K152" t="str">
        <f t="shared" si="11"/>
        <v>H</v>
      </c>
      <c r="M152" t="s">
        <v>986</v>
      </c>
      <c r="N152">
        <f t="shared" si="12"/>
        <v>13</v>
      </c>
    </row>
    <row r="153" spans="1:22" x14ac:dyDescent="0.25">
      <c r="A153" t="s">
        <v>1973</v>
      </c>
      <c r="B153" t="s">
        <v>1976</v>
      </c>
      <c r="C153" t="s">
        <v>1977</v>
      </c>
      <c r="F153" t="str">
        <f t="shared" si="10"/>
        <v xml:space="preserve">Hugo </v>
      </c>
      <c r="I153" t="s">
        <v>992</v>
      </c>
      <c r="K153" t="str">
        <f t="shared" si="11"/>
        <v>H</v>
      </c>
      <c r="M153" t="s">
        <v>991</v>
      </c>
      <c r="N153">
        <f t="shared" si="12"/>
        <v>13</v>
      </c>
    </row>
    <row r="154" spans="1:22" x14ac:dyDescent="0.25">
      <c r="A154" t="s">
        <v>1973</v>
      </c>
      <c r="B154" t="s">
        <v>1976</v>
      </c>
      <c r="C154" t="s">
        <v>1975</v>
      </c>
      <c r="F154" t="str">
        <f t="shared" si="10"/>
        <v xml:space="preserve">Sergio </v>
      </c>
      <c r="I154" t="s">
        <v>996</v>
      </c>
      <c r="K154" t="str">
        <f t="shared" si="11"/>
        <v>H</v>
      </c>
      <c r="M154" t="s">
        <v>995</v>
      </c>
      <c r="N154">
        <f t="shared" si="12"/>
        <v>13</v>
      </c>
    </row>
    <row r="155" spans="1:22" x14ac:dyDescent="0.25">
      <c r="A155" t="s">
        <v>1978</v>
      </c>
      <c r="B155" t="s">
        <v>1979</v>
      </c>
      <c r="C155" t="s">
        <v>1980</v>
      </c>
      <c r="D155" t="s">
        <v>1981</v>
      </c>
      <c r="F155" t="str">
        <f t="shared" si="10"/>
        <v>Polo Armando</v>
      </c>
      <c r="I155" t="s">
        <v>1000</v>
      </c>
      <c r="K155" t="str">
        <f t="shared" si="11"/>
        <v>H</v>
      </c>
      <c r="M155" t="s">
        <v>999</v>
      </c>
      <c r="N155">
        <f t="shared" si="12"/>
        <v>13</v>
      </c>
    </row>
    <row r="156" spans="1:22" x14ac:dyDescent="0.25">
      <c r="A156" t="s">
        <v>1982</v>
      </c>
      <c r="B156" t="s">
        <v>1983</v>
      </c>
      <c r="C156" t="s">
        <v>1984</v>
      </c>
      <c r="D156" t="s">
        <v>1985</v>
      </c>
      <c r="F156" t="str">
        <f t="shared" si="10"/>
        <v>Arturo Elias</v>
      </c>
      <c r="I156" t="s">
        <v>1003</v>
      </c>
      <c r="K156" t="str">
        <f t="shared" si="11"/>
        <v>H</v>
      </c>
      <c r="M156" t="s">
        <v>1002</v>
      </c>
      <c r="N156">
        <f t="shared" si="12"/>
        <v>13</v>
      </c>
    </row>
    <row r="157" spans="1:22" x14ac:dyDescent="0.25">
      <c r="A157" t="s">
        <v>1986</v>
      </c>
      <c r="B157" t="s">
        <v>1987</v>
      </c>
      <c r="C157" t="s">
        <v>1988</v>
      </c>
      <c r="F157" t="str">
        <f t="shared" si="10"/>
        <v xml:space="preserve">Oscar </v>
      </c>
      <c r="I157" t="s">
        <v>183</v>
      </c>
      <c r="K157" t="str">
        <f t="shared" si="11"/>
        <v>H</v>
      </c>
      <c r="M157" t="s">
        <v>1006</v>
      </c>
      <c r="N157">
        <f t="shared" si="12"/>
        <v>13</v>
      </c>
    </row>
    <row r="158" spans="1:22" x14ac:dyDescent="0.25">
      <c r="A158" t="s">
        <v>1989</v>
      </c>
      <c r="B158" t="s">
        <v>1990</v>
      </c>
      <c r="C158" t="s">
        <v>1991</v>
      </c>
      <c r="D158" t="s">
        <v>1992</v>
      </c>
      <c r="F158" t="str">
        <f t="shared" si="10"/>
        <v>Jose Luis</v>
      </c>
      <c r="I158" t="s">
        <v>1010</v>
      </c>
      <c r="K158" t="str">
        <f t="shared" si="11"/>
        <v>H</v>
      </c>
      <c r="M158" t="s">
        <v>1009</v>
      </c>
      <c r="N158">
        <f t="shared" si="12"/>
        <v>13</v>
      </c>
    </row>
    <row r="159" spans="1:22" x14ac:dyDescent="0.25">
      <c r="A159" t="s">
        <v>1989</v>
      </c>
      <c r="B159" t="s">
        <v>1989</v>
      </c>
      <c r="C159" t="s">
        <v>1993</v>
      </c>
      <c r="F159" t="str">
        <f t="shared" si="10"/>
        <v xml:space="preserve">Roman </v>
      </c>
      <c r="I159" t="s">
        <v>1014</v>
      </c>
      <c r="K159" t="str">
        <f t="shared" si="11"/>
        <v>H</v>
      </c>
      <c r="M159" t="s">
        <v>1013</v>
      </c>
      <c r="N159">
        <f t="shared" si="12"/>
        <v>13</v>
      </c>
    </row>
    <row r="160" spans="1:22" x14ac:dyDescent="0.25">
      <c r="A160" t="s">
        <v>1994</v>
      </c>
      <c r="B160" t="s">
        <v>1995</v>
      </c>
      <c r="C160" t="s">
        <v>1996</v>
      </c>
      <c r="D160" t="s">
        <v>1997</v>
      </c>
      <c r="F160" t="str">
        <f t="shared" si="10"/>
        <v>Manuel Remberto</v>
      </c>
      <c r="I160" t="s">
        <v>404</v>
      </c>
      <c r="K160" t="str">
        <f t="shared" si="11"/>
        <v>H</v>
      </c>
      <c r="M160" t="s">
        <v>1016</v>
      </c>
      <c r="N160">
        <f t="shared" si="12"/>
        <v>13</v>
      </c>
    </row>
    <row r="161" spans="1:26" x14ac:dyDescent="0.25">
      <c r="A161" t="s">
        <v>1998</v>
      </c>
      <c r="B161" t="s">
        <v>1987</v>
      </c>
      <c r="C161" t="s">
        <v>1999</v>
      </c>
      <c r="D161" t="s">
        <v>1996</v>
      </c>
      <c r="F161" t="str">
        <f t="shared" si="10"/>
        <v>Juan Manuel</v>
      </c>
      <c r="I161" t="s">
        <v>581</v>
      </c>
      <c r="K161" t="str">
        <f t="shared" si="11"/>
        <v>H</v>
      </c>
      <c r="M161" t="s">
        <v>580</v>
      </c>
      <c r="N161">
        <f t="shared" si="12"/>
        <v>13</v>
      </c>
    </row>
    <row r="162" spans="1:26" x14ac:dyDescent="0.25">
      <c r="A162" t="s">
        <v>1974</v>
      </c>
      <c r="B162" t="s">
        <v>2000</v>
      </c>
      <c r="C162" t="s">
        <v>2001</v>
      </c>
      <c r="D162" t="s">
        <v>1984</v>
      </c>
      <c r="F162" t="str">
        <f t="shared" si="10"/>
        <v>Lucio Arturo</v>
      </c>
      <c r="I162" t="s">
        <v>707</v>
      </c>
      <c r="K162" t="str">
        <f t="shared" si="11"/>
        <v>H</v>
      </c>
      <c r="M162" t="s">
        <v>1020</v>
      </c>
      <c r="N162">
        <f t="shared" si="12"/>
        <v>13</v>
      </c>
    </row>
    <row r="163" spans="1:26" x14ac:dyDescent="0.25">
      <c r="A163" t="s">
        <v>2002</v>
      </c>
      <c r="B163" t="s">
        <v>2003</v>
      </c>
      <c r="C163" t="s">
        <v>2004</v>
      </c>
      <c r="F163" t="str">
        <f t="shared" si="10"/>
        <v xml:space="preserve">Domingo </v>
      </c>
      <c r="I163" t="s">
        <v>1023</v>
      </c>
      <c r="K163" t="str">
        <f t="shared" si="11"/>
        <v>H</v>
      </c>
      <c r="M163" t="s">
        <v>1022</v>
      </c>
      <c r="N163">
        <f t="shared" si="12"/>
        <v>13</v>
      </c>
    </row>
    <row r="164" spans="1:26" x14ac:dyDescent="0.25">
      <c r="A164" t="s">
        <v>1993</v>
      </c>
      <c r="B164" t="s">
        <v>2005</v>
      </c>
      <c r="C164" t="s">
        <v>1992</v>
      </c>
      <c r="F164" t="str">
        <f t="shared" si="10"/>
        <v xml:space="preserve">Luis </v>
      </c>
      <c r="I164" t="s">
        <v>1026</v>
      </c>
      <c r="K164" t="str">
        <f t="shared" si="11"/>
        <v>H</v>
      </c>
      <c r="M164" t="s">
        <v>1025</v>
      </c>
      <c r="N164">
        <f t="shared" si="12"/>
        <v>13</v>
      </c>
    </row>
    <row r="165" spans="1:26" x14ac:dyDescent="0.25">
      <c r="A165" t="s">
        <v>2006</v>
      </c>
      <c r="B165" t="s">
        <v>2007</v>
      </c>
      <c r="C165" t="s">
        <v>1991</v>
      </c>
      <c r="F165" t="str">
        <f t="shared" si="10"/>
        <v xml:space="preserve">Jose </v>
      </c>
      <c r="I165" t="s">
        <v>1029</v>
      </c>
      <c r="K165" t="str">
        <f t="shared" si="11"/>
        <v>H</v>
      </c>
      <c r="M165" t="s">
        <v>1028</v>
      </c>
      <c r="N165">
        <f t="shared" si="12"/>
        <v>13</v>
      </c>
      <c r="V165" t="s">
        <v>1036</v>
      </c>
    </row>
    <row r="166" spans="1:26" x14ac:dyDescent="0.25">
      <c r="A166" t="s">
        <v>2008</v>
      </c>
      <c r="B166" t="s">
        <v>1699</v>
      </c>
      <c r="C166" t="s">
        <v>1881</v>
      </c>
      <c r="F166" t="str">
        <f t="shared" si="10"/>
        <v xml:space="preserve">HECTOR </v>
      </c>
      <c r="I166" t="s">
        <v>1033</v>
      </c>
      <c r="K166" t="str">
        <f t="shared" si="11"/>
        <v>H</v>
      </c>
      <c r="M166" t="s">
        <v>1032</v>
      </c>
      <c r="N166">
        <f t="shared" si="12"/>
        <v>13</v>
      </c>
      <c r="P166" t="s">
        <v>230</v>
      </c>
      <c r="Q166" t="s">
        <v>230</v>
      </c>
      <c r="R166" s="30" t="s">
        <v>2589</v>
      </c>
      <c r="S166">
        <v>1</v>
      </c>
      <c r="T166" t="s">
        <v>2590</v>
      </c>
      <c r="V166" t="s">
        <v>1043</v>
      </c>
    </row>
    <row r="167" spans="1:26" x14ac:dyDescent="0.25">
      <c r="A167" t="s">
        <v>1822</v>
      </c>
      <c r="B167" t="s">
        <v>2009</v>
      </c>
      <c r="C167" t="s">
        <v>1801</v>
      </c>
      <c r="F167" t="str">
        <f t="shared" si="10"/>
        <v xml:space="preserve">JORGE </v>
      </c>
      <c r="I167" t="s">
        <v>1039</v>
      </c>
      <c r="K167" t="str">
        <f t="shared" si="11"/>
        <v>H</v>
      </c>
      <c r="M167" t="s">
        <v>1038</v>
      </c>
      <c r="N167">
        <f t="shared" si="12"/>
        <v>13</v>
      </c>
      <c r="P167" t="s">
        <v>2836</v>
      </c>
      <c r="Q167" t="s">
        <v>2591</v>
      </c>
      <c r="R167" s="30">
        <v>108</v>
      </c>
      <c r="V167" t="s">
        <v>1050</v>
      </c>
    </row>
    <row r="168" spans="1:26" x14ac:dyDescent="0.25">
      <c r="A168" t="s">
        <v>1961</v>
      </c>
      <c r="B168" t="s">
        <v>193</v>
      </c>
      <c r="C168" t="s">
        <v>1728</v>
      </c>
      <c r="F168" t="str">
        <f t="shared" si="10"/>
        <v xml:space="preserve">JOSE </v>
      </c>
      <c r="I168" t="s">
        <v>1046</v>
      </c>
      <c r="K168" t="str">
        <f t="shared" si="11"/>
        <v>H</v>
      </c>
      <c r="M168" t="s">
        <v>1045</v>
      </c>
      <c r="N168">
        <f t="shared" si="12"/>
        <v>13</v>
      </c>
      <c r="P168" t="s">
        <v>2837</v>
      </c>
      <c r="Q168" t="s">
        <v>223</v>
      </c>
      <c r="R168" s="30" t="s">
        <v>13</v>
      </c>
      <c r="V168" t="s">
        <v>1058</v>
      </c>
    </row>
    <row r="169" spans="1:26" x14ac:dyDescent="0.25">
      <c r="A169" t="s">
        <v>2010</v>
      </c>
      <c r="B169" t="s">
        <v>1825</v>
      </c>
      <c r="C169" t="s">
        <v>1821</v>
      </c>
      <c r="F169" t="str">
        <f t="shared" si="10"/>
        <v xml:space="preserve">ALFREDO </v>
      </c>
      <c r="I169" t="s">
        <v>1054</v>
      </c>
      <c r="K169" t="str">
        <f t="shared" si="11"/>
        <v>H</v>
      </c>
      <c r="M169" t="s">
        <v>1053</v>
      </c>
      <c r="N169">
        <f t="shared" si="12"/>
        <v>13</v>
      </c>
      <c r="P169" t="s">
        <v>2686</v>
      </c>
      <c r="Q169" t="s">
        <v>2466</v>
      </c>
      <c r="R169" s="30">
        <v>18</v>
      </c>
      <c r="V169" t="s">
        <v>1065</v>
      </c>
    </row>
    <row r="170" spans="1:26" x14ac:dyDescent="0.25">
      <c r="A170" t="s">
        <v>1862</v>
      </c>
      <c r="B170" t="s">
        <v>1868</v>
      </c>
      <c r="C170" t="s">
        <v>1725</v>
      </c>
      <c r="F170" t="str">
        <f t="shared" si="10"/>
        <v xml:space="preserve">DAVID </v>
      </c>
      <c r="I170" t="s">
        <v>1061</v>
      </c>
      <c r="K170" t="str">
        <f t="shared" si="11"/>
        <v>H</v>
      </c>
      <c r="M170" t="s">
        <v>1060</v>
      </c>
      <c r="N170">
        <f t="shared" si="12"/>
        <v>13</v>
      </c>
      <c r="P170" t="s">
        <v>2774</v>
      </c>
      <c r="Q170" t="s">
        <v>1823</v>
      </c>
      <c r="R170" s="30" t="s">
        <v>2494</v>
      </c>
      <c r="S170">
        <v>41</v>
      </c>
      <c r="V170" t="s">
        <v>1071</v>
      </c>
    </row>
    <row r="171" spans="1:26" x14ac:dyDescent="0.25">
      <c r="A171" t="s">
        <v>277</v>
      </c>
      <c r="B171" t="s">
        <v>277</v>
      </c>
      <c r="C171" t="s">
        <v>1706</v>
      </c>
      <c r="D171" t="s">
        <v>1702</v>
      </c>
      <c r="F171" t="str">
        <f t="shared" si="10"/>
        <v>JUAN LUIS</v>
      </c>
      <c r="I171" t="s">
        <v>1068</v>
      </c>
      <c r="K171" t="str">
        <f t="shared" si="11"/>
        <v>H</v>
      </c>
      <c r="M171" t="s">
        <v>1067</v>
      </c>
      <c r="N171">
        <f t="shared" si="12"/>
        <v>13</v>
      </c>
      <c r="P171" t="s">
        <v>2838</v>
      </c>
      <c r="Q171">
        <v>20</v>
      </c>
      <c r="R171" s="30" t="s">
        <v>1823</v>
      </c>
      <c r="S171" t="s">
        <v>2494</v>
      </c>
      <c r="T171" t="s">
        <v>2592</v>
      </c>
      <c r="U171">
        <v>16</v>
      </c>
      <c r="V171" t="s">
        <v>1079</v>
      </c>
    </row>
    <row r="172" spans="1:26" x14ac:dyDescent="0.25">
      <c r="A172" t="s">
        <v>1713</v>
      </c>
      <c r="B172" t="s">
        <v>1713</v>
      </c>
      <c r="C172" t="s">
        <v>1728</v>
      </c>
      <c r="D172" t="s">
        <v>2011</v>
      </c>
      <c r="F172" t="str">
        <f t="shared" si="10"/>
        <v>JOSE BERNARDO</v>
      </c>
      <c r="I172" t="s">
        <v>1074</v>
      </c>
      <c r="K172" t="str">
        <f t="shared" si="11"/>
        <v>H</v>
      </c>
      <c r="M172" t="s">
        <v>1073</v>
      </c>
      <c r="N172">
        <f t="shared" si="12"/>
        <v>13</v>
      </c>
      <c r="P172" t="s">
        <v>2839</v>
      </c>
      <c r="Q172" t="s">
        <v>2593</v>
      </c>
      <c r="R172" s="30">
        <v>2</v>
      </c>
      <c r="S172" t="s">
        <v>2594</v>
      </c>
      <c r="T172" t="s">
        <v>2595</v>
      </c>
      <c r="U172" t="s">
        <v>2596</v>
      </c>
      <c r="V172" t="s">
        <v>1086</v>
      </c>
      <c r="W172" t="s">
        <v>2597</v>
      </c>
      <c r="X172" t="s">
        <v>2598</v>
      </c>
      <c r="Y172" t="s">
        <v>2481</v>
      </c>
      <c r="Z172" t="s">
        <v>2599</v>
      </c>
    </row>
    <row r="173" spans="1:26" x14ac:dyDescent="0.25">
      <c r="A173" t="s">
        <v>1803</v>
      </c>
      <c r="B173" t="s">
        <v>1913</v>
      </c>
      <c r="C173" t="s">
        <v>1728</v>
      </c>
      <c r="D173" t="s">
        <v>1719</v>
      </c>
      <c r="F173" t="str">
        <f t="shared" si="10"/>
        <v>JOSE JAVIER</v>
      </c>
      <c r="I173" t="s">
        <v>1082</v>
      </c>
      <c r="K173" t="str">
        <f t="shared" si="11"/>
        <v>H</v>
      </c>
      <c r="M173" t="s">
        <v>1081</v>
      </c>
      <c r="N173">
        <f t="shared" si="12"/>
        <v>13</v>
      </c>
      <c r="P173" t="s">
        <v>2600</v>
      </c>
      <c r="Q173">
        <v>101</v>
      </c>
      <c r="R173" s="30" t="s">
        <v>2434</v>
      </c>
      <c r="S173">
        <v>20</v>
      </c>
      <c r="T173" t="s">
        <v>2466</v>
      </c>
      <c r="U173">
        <v>1</v>
      </c>
      <c r="V173" t="s">
        <v>1093</v>
      </c>
    </row>
    <row r="174" spans="1:26" x14ac:dyDescent="0.25">
      <c r="A174" t="s">
        <v>1713</v>
      </c>
      <c r="B174" t="s">
        <v>1718</v>
      </c>
      <c r="C174" t="s">
        <v>1821</v>
      </c>
      <c r="F174" t="str">
        <f t="shared" si="10"/>
        <v xml:space="preserve">ALFREDO </v>
      </c>
      <c r="I174" t="s">
        <v>1089</v>
      </c>
      <c r="K174" t="str">
        <f t="shared" si="11"/>
        <v>H</v>
      </c>
      <c r="M174" t="s">
        <v>1088</v>
      </c>
      <c r="N174">
        <f t="shared" si="12"/>
        <v>13</v>
      </c>
      <c r="P174" t="s">
        <v>2840</v>
      </c>
      <c r="Q174" t="s">
        <v>2601</v>
      </c>
      <c r="R174" s="30" t="s">
        <v>2602</v>
      </c>
      <c r="S174" t="s">
        <v>2557</v>
      </c>
      <c r="V174" t="s">
        <v>1099</v>
      </c>
    </row>
    <row r="175" spans="1:26" x14ac:dyDescent="0.25">
      <c r="A175" t="s">
        <v>193</v>
      </c>
      <c r="B175" t="s">
        <v>2012</v>
      </c>
      <c r="C175" t="s">
        <v>1790</v>
      </c>
      <c r="F175" t="str">
        <f t="shared" si="10"/>
        <v xml:space="preserve">ROBERTO </v>
      </c>
      <c r="I175" t="s">
        <v>1096</v>
      </c>
      <c r="K175" t="str">
        <f t="shared" si="11"/>
        <v>H</v>
      </c>
      <c r="M175" t="s">
        <v>1095</v>
      </c>
      <c r="N175">
        <f t="shared" si="12"/>
        <v>13</v>
      </c>
      <c r="P175" t="s">
        <v>2841</v>
      </c>
      <c r="Q175">
        <v>18</v>
      </c>
      <c r="R175" s="30" t="s">
        <v>2434</v>
      </c>
      <c r="S175">
        <v>30</v>
      </c>
      <c r="T175" t="s">
        <v>2603</v>
      </c>
      <c r="V175" t="s">
        <v>1106</v>
      </c>
    </row>
    <row r="176" spans="1:26" x14ac:dyDescent="0.25">
      <c r="A176" t="s">
        <v>2013</v>
      </c>
      <c r="B176" t="s">
        <v>2014</v>
      </c>
      <c r="C176" t="s">
        <v>2015</v>
      </c>
      <c r="F176" t="str">
        <f t="shared" si="10"/>
        <v xml:space="preserve">DEMETRIO </v>
      </c>
      <c r="I176" t="s">
        <v>1102</v>
      </c>
      <c r="K176" t="str">
        <f t="shared" si="11"/>
        <v>H</v>
      </c>
      <c r="M176" t="s">
        <v>1101</v>
      </c>
      <c r="N176">
        <f t="shared" si="12"/>
        <v>13</v>
      </c>
      <c r="P176" t="s">
        <v>2842</v>
      </c>
      <c r="Q176" t="s">
        <v>1823</v>
      </c>
      <c r="R176" s="30" t="s">
        <v>2604</v>
      </c>
      <c r="S176">
        <v>130</v>
      </c>
    </row>
    <row r="177" spans="1:22" x14ac:dyDescent="0.25">
      <c r="A177" t="s">
        <v>1838</v>
      </c>
      <c r="B177" t="s">
        <v>957</v>
      </c>
      <c r="C177" t="s">
        <v>1702</v>
      </c>
      <c r="D177" t="s">
        <v>1802</v>
      </c>
      <c r="F177" t="str">
        <f t="shared" si="10"/>
        <v>LUIS ALBERTO</v>
      </c>
      <c r="I177" t="s">
        <v>1109</v>
      </c>
      <c r="K177" t="str">
        <f t="shared" si="11"/>
        <v>H</v>
      </c>
      <c r="M177" t="s">
        <v>1108</v>
      </c>
      <c r="N177">
        <f t="shared" si="12"/>
        <v>13</v>
      </c>
      <c r="P177" t="s">
        <v>2843</v>
      </c>
      <c r="Q177" t="s">
        <v>1784</v>
      </c>
      <c r="R177" s="30" t="s">
        <v>1740</v>
      </c>
      <c r="S177" t="s">
        <v>1727</v>
      </c>
      <c r="T177" t="s">
        <v>2451</v>
      </c>
      <c r="U177">
        <v>38</v>
      </c>
      <c r="V177" t="s">
        <v>1119</v>
      </c>
    </row>
    <row r="178" spans="1:22" x14ac:dyDescent="0.25">
      <c r="A178" t="s">
        <v>2016</v>
      </c>
      <c r="B178" t="s">
        <v>1765</v>
      </c>
      <c r="C178" t="s">
        <v>1867</v>
      </c>
      <c r="F178" t="str">
        <f t="shared" si="10"/>
        <v xml:space="preserve">JUSTO </v>
      </c>
      <c r="I178" t="s">
        <v>1114</v>
      </c>
      <c r="K178" t="str">
        <f t="shared" si="11"/>
        <v>H</v>
      </c>
      <c r="M178" t="s">
        <v>2411</v>
      </c>
      <c r="N178">
        <f t="shared" si="12"/>
        <v>13</v>
      </c>
      <c r="P178" t="s">
        <v>2844</v>
      </c>
      <c r="Q178" t="s">
        <v>2605</v>
      </c>
      <c r="R178" s="30" t="s">
        <v>2437</v>
      </c>
      <c r="S178">
        <v>13</v>
      </c>
      <c r="V178" t="s">
        <v>1125</v>
      </c>
    </row>
    <row r="179" spans="1:22" x14ac:dyDescent="0.25">
      <c r="A179" t="s">
        <v>1699</v>
      </c>
      <c r="B179" t="s">
        <v>1713</v>
      </c>
      <c r="C179" t="s">
        <v>1774</v>
      </c>
      <c r="D179" t="s">
        <v>1735</v>
      </c>
      <c r="F179" t="str">
        <f t="shared" si="10"/>
        <v>MARTIN GERARDO</v>
      </c>
      <c r="I179" t="s">
        <v>1121</v>
      </c>
      <c r="K179" t="str">
        <f t="shared" si="11"/>
        <v>H</v>
      </c>
      <c r="M179" t="s">
        <v>2412</v>
      </c>
      <c r="N179">
        <f t="shared" si="12"/>
        <v>13</v>
      </c>
      <c r="P179" t="s">
        <v>2845</v>
      </c>
      <c r="Q179">
        <v>29</v>
      </c>
      <c r="R179" s="30" t="s">
        <v>2606</v>
      </c>
      <c r="S179" t="s">
        <v>2607</v>
      </c>
      <c r="V179" t="s">
        <v>1132</v>
      </c>
    </row>
    <row r="180" spans="1:22" x14ac:dyDescent="0.25">
      <c r="A180" t="s">
        <v>1773</v>
      </c>
      <c r="B180" t="s">
        <v>1822</v>
      </c>
      <c r="C180" t="s">
        <v>2017</v>
      </c>
      <c r="D180" t="s">
        <v>1707</v>
      </c>
      <c r="F180" t="str">
        <f t="shared" si="10"/>
        <v>J. FRANCISCO</v>
      </c>
      <c r="I180" t="s">
        <v>1127</v>
      </c>
      <c r="K180" t="str">
        <f t="shared" si="11"/>
        <v>H</v>
      </c>
      <c r="M180" t="s">
        <v>2413</v>
      </c>
      <c r="N180">
        <f t="shared" si="12"/>
        <v>13</v>
      </c>
      <c r="P180" t="s">
        <v>2846</v>
      </c>
      <c r="Q180" t="s">
        <v>2451</v>
      </c>
      <c r="R180" s="30">
        <v>26</v>
      </c>
      <c r="V180" t="s">
        <v>1138</v>
      </c>
    </row>
    <row r="181" spans="1:22" x14ac:dyDescent="0.25">
      <c r="A181" t="s">
        <v>1823</v>
      </c>
      <c r="B181" t="s">
        <v>1884</v>
      </c>
      <c r="C181" t="s">
        <v>1699</v>
      </c>
      <c r="D181" t="s">
        <v>2018</v>
      </c>
      <c r="E181" t="s">
        <v>1707</v>
      </c>
      <c r="F181" t="str">
        <f t="shared" si="10"/>
        <v>CRUZ BERRIOS</v>
      </c>
      <c r="I181" t="s">
        <v>1134</v>
      </c>
      <c r="K181" t="str">
        <f t="shared" si="11"/>
        <v>H</v>
      </c>
      <c r="M181" t="s">
        <v>2414</v>
      </c>
      <c r="N181">
        <f t="shared" si="12"/>
        <v>13</v>
      </c>
      <c r="P181" t="s">
        <v>2847</v>
      </c>
      <c r="Q181" t="s">
        <v>2604</v>
      </c>
      <c r="R181" s="30" t="s">
        <v>2608</v>
      </c>
      <c r="S181" t="s">
        <v>2609</v>
      </c>
      <c r="V181" t="s">
        <v>1144</v>
      </c>
    </row>
    <row r="182" spans="1:22" x14ac:dyDescent="0.25">
      <c r="A182" t="s">
        <v>2019</v>
      </c>
      <c r="B182" t="s">
        <v>1942</v>
      </c>
      <c r="C182" t="s">
        <v>2020</v>
      </c>
      <c r="D182" t="s">
        <v>1710</v>
      </c>
      <c r="F182" t="str">
        <f t="shared" si="10"/>
        <v>CAMILO ALEJANDRO</v>
      </c>
      <c r="I182" t="s">
        <v>1141</v>
      </c>
      <c r="K182" t="str">
        <f t="shared" si="11"/>
        <v>H</v>
      </c>
      <c r="M182" t="s">
        <v>2415</v>
      </c>
      <c r="N182">
        <f t="shared" si="12"/>
        <v>13</v>
      </c>
      <c r="P182" t="s">
        <v>2848</v>
      </c>
      <c r="Q182" t="s">
        <v>1829</v>
      </c>
      <c r="R182" s="30" t="s">
        <v>2554</v>
      </c>
      <c r="S182" t="s">
        <v>2557</v>
      </c>
      <c r="V182" t="s">
        <v>1150</v>
      </c>
    </row>
    <row r="183" spans="1:22" x14ac:dyDescent="0.25">
      <c r="A183" t="s">
        <v>1849</v>
      </c>
      <c r="B183" t="s">
        <v>1795</v>
      </c>
      <c r="C183" t="s">
        <v>1728</v>
      </c>
      <c r="D183" t="s">
        <v>1821</v>
      </c>
      <c r="F183" t="str">
        <f t="shared" si="10"/>
        <v>JOSE ALFREDO</v>
      </c>
      <c r="I183" t="s">
        <v>1146</v>
      </c>
      <c r="K183" t="str">
        <f t="shared" si="11"/>
        <v>H</v>
      </c>
      <c r="M183" t="s">
        <v>2416</v>
      </c>
      <c r="N183">
        <f t="shared" si="12"/>
        <v>13</v>
      </c>
      <c r="P183" t="s">
        <v>2849</v>
      </c>
      <c r="Q183" t="s">
        <v>2551</v>
      </c>
      <c r="R183" s="30" t="s">
        <v>1823</v>
      </c>
      <c r="S183" t="s">
        <v>2610</v>
      </c>
      <c r="T183">
        <v>105</v>
      </c>
      <c r="V183" t="s">
        <v>1156</v>
      </c>
    </row>
    <row r="184" spans="1:22" x14ac:dyDescent="0.25">
      <c r="A184" t="s">
        <v>1744</v>
      </c>
      <c r="B184" t="s">
        <v>1713</v>
      </c>
      <c r="C184" t="s">
        <v>1735</v>
      </c>
      <c r="F184" t="str">
        <f t="shared" si="10"/>
        <v xml:space="preserve">GERARDO </v>
      </c>
      <c r="I184" t="s">
        <v>1153</v>
      </c>
      <c r="K184" t="str">
        <f t="shared" si="11"/>
        <v>H</v>
      </c>
      <c r="M184" t="s">
        <v>1152</v>
      </c>
      <c r="N184">
        <f t="shared" si="12"/>
        <v>13</v>
      </c>
      <c r="P184" t="s">
        <v>193</v>
      </c>
      <c r="Q184" t="s">
        <v>2611</v>
      </c>
      <c r="V184" t="s">
        <v>1164</v>
      </c>
    </row>
    <row r="185" spans="1:22" x14ac:dyDescent="0.25">
      <c r="A185" t="s">
        <v>1854</v>
      </c>
      <c r="B185" t="s">
        <v>2021</v>
      </c>
      <c r="C185" t="s">
        <v>2022</v>
      </c>
      <c r="F185" t="str">
        <f t="shared" si="10"/>
        <v xml:space="preserve">MISAEL </v>
      </c>
      <c r="I185" t="s">
        <v>1159</v>
      </c>
      <c r="K185" t="str">
        <f t="shared" si="11"/>
        <v>H</v>
      </c>
      <c r="M185" t="s">
        <v>1158</v>
      </c>
      <c r="N185">
        <f t="shared" si="12"/>
        <v>13</v>
      </c>
      <c r="P185" t="s">
        <v>2838</v>
      </c>
      <c r="Q185">
        <v>20</v>
      </c>
      <c r="R185" s="30" t="s">
        <v>1823</v>
      </c>
      <c r="S185" t="s">
        <v>2612</v>
      </c>
      <c r="T185" t="s">
        <v>2613</v>
      </c>
      <c r="V185" t="s">
        <v>1171</v>
      </c>
    </row>
    <row r="186" spans="1:22" x14ac:dyDescent="0.25">
      <c r="A186" t="s">
        <v>1744</v>
      </c>
      <c r="B186" t="s">
        <v>1854</v>
      </c>
      <c r="C186" t="s">
        <v>2023</v>
      </c>
      <c r="F186" t="str">
        <f t="shared" si="10"/>
        <v xml:space="preserve">MARCOS </v>
      </c>
      <c r="I186" t="s">
        <v>1167</v>
      </c>
      <c r="K186" t="str">
        <f t="shared" si="11"/>
        <v>H</v>
      </c>
      <c r="M186" t="s">
        <v>1166</v>
      </c>
      <c r="N186">
        <f t="shared" si="12"/>
        <v>13</v>
      </c>
      <c r="P186" t="s">
        <v>2850</v>
      </c>
      <c r="Q186" t="s">
        <v>2614</v>
      </c>
      <c r="R186" s="30" t="s">
        <v>2437</v>
      </c>
      <c r="S186">
        <v>35</v>
      </c>
      <c r="V186" t="s">
        <v>1176</v>
      </c>
    </row>
    <row r="187" spans="1:22" x14ac:dyDescent="0.25">
      <c r="A187" t="s">
        <v>1715</v>
      </c>
      <c r="B187" t="s">
        <v>1865</v>
      </c>
      <c r="C187" t="s">
        <v>1735</v>
      </c>
      <c r="F187" t="str">
        <f t="shared" si="10"/>
        <v xml:space="preserve">GERARDO </v>
      </c>
      <c r="I187" t="s">
        <v>1173</v>
      </c>
      <c r="K187" t="str">
        <f t="shared" si="11"/>
        <v>H</v>
      </c>
      <c r="M187" t="s">
        <v>2417</v>
      </c>
      <c r="N187">
        <f t="shared" si="12"/>
        <v>13</v>
      </c>
      <c r="P187" t="s">
        <v>2851</v>
      </c>
      <c r="Q187" t="s">
        <v>2615</v>
      </c>
      <c r="R187" s="30" t="s">
        <v>2566</v>
      </c>
      <c r="S187" t="s">
        <v>2616</v>
      </c>
      <c r="T187" t="s">
        <v>2504</v>
      </c>
      <c r="U187">
        <v>13</v>
      </c>
      <c r="V187" t="s">
        <v>1182</v>
      </c>
    </row>
    <row r="188" spans="1:22" x14ac:dyDescent="0.25">
      <c r="A188" t="s">
        <v>1713</v>
      </c>
      <c r="B188" t="s">
        <v>2024</v>
      </c>
      <c r="C188" t="s">
        <v>1790</v>
      </c>
      <c r="F188" t="str">
        <f t="shared" si="10"/>
        <v xml:space="preserve">ROBERTO </v>
      </c>
      <c r="I188" t="s">
        <v>1178</v>
      </c>
      <c r="K188" t="str">
        <f t="shared" si="11"/>
        <v>H</v>
      </c>
      <c r="M188" t="s">
        <v>2418</v>
      </c>
      <c r="N188">
        <f t="shared" si="12"/>
        <v>13</v>
      </c>
      <c r="P188" t="s">
        <v>2617</v>
      </c>
      <c r="Q188" t="s">
        <v>2566</v>
      </c>
      <c r="R188" s="30">
        <v>11</v>
      </c>
      <c r="S188" t="s">
        <v>2504</v>
      </c>
      <c r="T188">
        <v>32</v>
      </c>
      <c r="V188" t="s">
        <v>1189</v>
      </c>
    </row>
    <row r="189" spans="1:22" x14ac:dyDescent="0.25">
      <c r="A189" t="s">
        <v>1773</v>
      </c>
      <c r="B189" t="s">
        <v>1916</v>
      </c>
      <c r="C189" t="s">
        <v>2025</v>
      </c>
      <c r="F189" t="str">
        <f t="shared" si="10"/>
        <v xml:space="preserve">RUBEN </v>
      </c>
      <c r="I189" t="s">
        <v>1185</v>
      </c>
      <c r="K189" t="str">
        <f t="shared" si="11"/>
        <v>H</v>
      </c>
      <c r="M189" t="s">
        <v>1184</v>
      </c>
      <c r="N189">
        <f t="shared" si="12"/>
        <v>13</v>
      </c>
      <c r="P189" t="s">
        <v>2618</v>
      </c>
      <c r="Q189" t="s">
        <v>2437</v>
      </c>
      <c r="R189" s="30">
        <v>13</v>
      </c>
      <c r="V189" t="s">
        <v>1195</v>
      </c>
    </row>
    <row r="190" spans="1:22" x14ac:dyDescent="0.25">
      <c r="A190" t="s">
        <v>2026</v>
      </c>
      <c r="B190" t="s">
        <v>2027</v>
      </c>
      <c r="C190" t="s">
        <v>1728</v>
      </c>
      <c r="D190" t="s">
        <v>1802</v>
      </c>
      <c r="F190" t="str">
        <f t="shared" si="10"/>
        <v>JOSE ALBERTO</v>
      </c>
      <c r="I190" t="s">
        <v>1192</v>
      </c>
      <c r="K190" t="str">
        <f t="shared" si="11"/>
        <v>H</v>
      </c>
      <c r="M190" t="s">
        <v>1191</v>
      </c>
      <c r="N190">
        <f t="shared" si="12"/>
        <v>13</v>
      </c>
      <c r="P190" t="s">
        <v>2619</v>
      </c>
      <c r="Q190" t="s">
        <v>2566</v>
      </c>
      <c r="R190" s="30">
        <v>113</v>
      </c>
      <c r="S190" t="s">
        <v>2504</v>
      </c>
      <c r="T190">
        <v>30</v>
      </c>
      <c r="V190" t="s">
        <v>1203</v>
      </c>
    </row>
    <row r="191" spans="1:22" x14ac:dyDescent="0.25">
      <c r="A191" t="s">
        <v>1941</v>
      </c>
      <c r="B191" t="s">
        <v>2028</v>
      </c>
      <c r="C191" t="s">
        <v>2029</v>
      </c>
      <c r="D191" t="s">
        <v>2030</v>
      </c>
      <c r="F191" t="str">
        <f t="shared" si="10"/>
        <v>JHONNY CARMELO</v>
      </c>
      <c r="I191" t="s">
        <v>1198</v>
      </c>
      <c r="K191" t="str">
        <f t="shared" si="11"/>
        <v>H</v>
      </c>
      <c r="M191" t="s">
        <v>1197</v>
      </c>
      <c r="N191">
        <f t="shared" si="12"/>
        <v>13</v>
      </c>
      <c r="P191" t="s">
        <v>2852</v>
      </c>
      <c r="Q191" t="s">
        <v>2440</v>
      </c>
      <c r="R191" s="30" t="s">
        <v>1780</v>
      </c>
      <c r="S191" t="s">
        <v>13</v>
      </c>
      <c r="V191" t="s">
        <v>1210</v>
      </c>
    </row>
    <row r="192" spans="1:22" x14ac:dyDescent="0.25">
      <c r="A192" t="s">
        <v>2031</v>
      </c>
      <c r="B192" t="s">
        <v>1946</v>
      </c>
      <c r="C192" t="s">
        <v>1801</v>
      </c>
      <c r="D192" t="s">
        <v>1703</v>
      </c>
      <c r="F192" t="str">
        <f t="shared" si="10"/>
        <v>JORGE ANTONIO</v>
      </c>
      <c r="I192" t="s">
        <v>2311</v>
      </c>
      <c r="K192" t="str">
        <f t="shared" si="11"/>
        <v>H</v>
      </c>
      <c r="M192" t="s">
        <v>1205</v>
      </c>
      <c r="N192">
        <f t="shared" si="12"/>
        <v>13</v>
      </c>
      <c r="P192" t="s">
        <v>2853</v>
      </c>
      <c r="Q192" t="s">
        <v>1841</v>
      </c>
      <c r="R192" s="30" t="s">
        <v>2620</v>
      </c>
      <c r="S192" t="s">
        <v>2621</v>
      </c>
      <c r="T192" t="s">
        <v>2437</v>
      </c>
      <c r="U192">
        <v>26</v>
      </c>
      <c r="V192" t="s">
        <v>1217</v>
      </c>
    </row>
    <row r="193" spans="1:25" x14ac:dyDescent="0.25">
      <c r="A193" t="s">
        <v>2032</v>
      </c>
      <c r="B193" t="s">
        <v>1853</v>
      </c>
      <c r="C193" t="s">
        <v>2033</v>
      </c>
      <c r="D193" t="s">
        <v>1762</v>
      </c>
      <c r="F193" t="str">
        <f t="shared" si="10"/>
        <v>SABAS ARTURO</v>
      </c>
      <c r="I193" t="s">
        <v>1213</v>
      </c>
      <c r="K193" t="str">
        <f t="shared" si="11"/>
        <v>H</v>
      </c>
      <c r="M193" t="s">
        <v>1212</v>
      </c>
      <c r="N193">
        <f t="shared" si="12"/>
        <v>13</v>
      </c>
      <c r="P193" t="s">
        <v>2854</v>
      </c>
      <c r="Q193" t="s">
        <v>1823</v>
      </c>
      <c r="R193" s="30" t="s">
        <v>1884</v>
      </c>
      <c r="S193" t="s">
        <v>2622</v>
      </c>
      <c r="T193" t="s">
        <v>2566</v>
      </c>
      <c r="U193">
        <v>5</v>
      </c>
      <c r="V193" t="s">
        <v>1223</v>
      </c>
      <c r="W193">
        <v>10</v>
      </c>
      <c r="X193" t="s">
        <v>2623</v>
      </c>
      <c r="Y193">
        <v>12</v>
      </c>
    </row>
    <row r="194" spans="1:25" x14ac:dyDescent="0.25">
      <c r="A194" t="s">
        <v>2034</v>
      </c>
      <c r="B194" t="s">
        <v>1718</v>
      </c>
      <c r="C194" t="s">
        <v>1728</v>
      </c>
      <c r="D194" t="s">
        <v>1707</v>
      </c>
      <c r="F194" t="str">
        <f t="shared" si="10"/>
        <v>JOSE FRANCISCO</v>
      </c>
      <c r="I194" t="s">
        <v>1220</v>
      </c>
      <c r="K194" t="str">
        <f t="shared" si="11"/>
        <v>H</v>
      </c>
      <c r="M194" t="s">
        <v>1219</v>
      </c>
      <c r="N194">
        <f t="shared" si="12"/>
        <v>13</v>
      </c>
      <c r="P194" t="s">
        <v>2855</v>
      </c>
      <c r="Q194" t="s">
        <v>1823</v>
      </c>
      <c r="R194" s="30" t="s">
        <v>2624</v>
      </c>
      <c r="S194" t="s">
        <v>2437</v>
      </c>
      <c r="T194">
        <v>148</v>
      </c>
      <c r="V194" t="s">
        <v>1231</v>
      </c>
    </row>
    <row r="195" spans="1:25" x14ac:dyDescent="0.25">
      <c r="V195" t="s">
        <v>1238</v>
      </c>
    </row>
    <row r="196" spans="1:25" x14ac:dyDescent="0.25">
      <c r="A196" t="s">
        <v>2035</v>
      </c>
      <c r="B196" t="s">
        <v>2036</v>
      </c>
      <c r="C196" t="s">
        <v>1706</v>
      </c>
      <c r="D196" t="s">
        <v>1923</v>
      </c>
      <c r="F196" t="str">
        <f t="shared" si="10"/>
        <v>JUAN ADOLFO</v>
      </c>
      <c r="I196" t="s">
        <v>1225</v>
      </c>
      <c r="K196" t="str">
        <f t="shared" si="11"/>
        <v>H</v>
      </c>
      <c r="M196" t="s">
        <v>2419</v>
      </c>
      <c r="N196">
        <f t="shared" si="12"/>
        <v>13</v>
      </c>
      <c r="P196" t="s">
        <v>2625</v>
      </c>
      <c r="Q196" t="s">
        <v>2626</v>
      </c>
      <c r="R196" s="30" t="s">
        <v>13</v>
      </c>
      <c r="V196" t="s">
        <v>1246</v>
      </c>
    </row>
    <row r="197" spans="1:25" x14ac:dyDescent="0.25">
      <c r="A197" t="s">
        <v>1713</v>
      </c>
      <c r="B197" t="s">
        <v>1718</v>
      </c>
      <c r="C197" t="s">
        <v>1784</v>
      </c>
      <c r="F197" t="str">
        <f t="shared" ref="F197:F260" si="13">CONCATENATE(C197," ",D197)</f>
        <v xml:space="preserve">JESUS </v>
      </c>
      <c r="I197" t="s">
        <v>1234</v>
      </c>
      <c r="K197" t="str">
        <f t="shared" ref="K197:K260" si="14">MID(I197,11,1)</f>
        <v>H</v>
      </c>
      <c r="M197" t="s">
        <v>1233</v>
      </c>
      <c r="N197">
        <f t="shared" ref="N197:N260" si="15">LEN(M197)</f>
        <v>13</v>
      </c>
      <c r="P197" t="s">
        <v>2533</v>
      </c>
      <c r="Q197">
        <v>16</v>
      </c>
      <c r="R197" s="30" t="s">
        <v>1823</v>
      </c>
      <c r="S197" t="s">
        <v>2627</v>
      </c>
      <c r="T197" t="s">
        <v>13</v>
      </c>
      <c r="V197" t="s">
        <v>1252</v>
      </c>
    </row>
    <row r="198" spans="1:25" x14ac:dyDescent="0.25">
      <c r="A198" t="s">
        <v>1767</v>
      </c>
      <c r="B198" t="s">
        <v>1734</v>
      </c>
      <c r="C198" t="s">
        <v>1841</v>
      </c>
      <c r="D198" t="s">
        <v>1762</v>
      </c>
      <c r="F198" t="str">
        <f t="shared" si="13"/>
        <v>PEDRO ARTURO</v>
      </c>
      <c r="I198" t="s">
        <v>1240</v>
      </c>
      <c r="K198" t="str">
        <f t="shared" si="14"/>
        <v>H</v>
      </c>
      <c r="M198" t="s">
        <v>2420</v>
      </c>
      <c r="N198">
        <f t="shared" si="15"/>
        <v>13</v>
      </c>
      <c r="P198" t="s">
        <v>2476</v>
      </c>
      <c r="Q198" t="s">
        <v>2628</v>
      </c>
      <c r="R198" s="30" t="s">
        <v>2437</v>
      </c>
      <c r="S198">
        <v>300</v>
      </c>
      <c r="V198" t="s">
        <v>1257</v>
      </c>
    </row>
    <row r="199" spans="1:25" x14ac:dyDescent="0.25">
      <c r="A199" t="s">
        <v>2037</v>
      </c>
      <c r="B199" t="s">
        <v>1803</v>
      </c>
      <c r="C199" t="s">
        <v>1864</v>
      </c>
      <c r="F199" t="str">
        <f t="shared" si="13"/>
        <v xml:space="preserve">ABRAHAM </v>
      </c>
      <c r="I199" t="s">
        <v>1248</v>
      </c>
      <c r="K199" t="str">
        <f t="shared" si="14"/>
        <v>H</v>
      </c>
      <c r="M199" t="s">
        <v>2421</v>
      </c>
      <c r="N199">
        <f t="shared" si="15"/>
        <v>13</v>
      </c>
      <c r="P199" t="s">
        <v>2476</v>
      </c>
      <c r="Q199">
        <v>12</v>
      </c>
      <c r="R199" s="30" t="s">
        <v>1823</v>
      </c>
      <c r="S199" t="s">
        <v>2629</v>
      </c>
      <c r="T199" t="s">
        <v>13</v>
      </c>
      <c r="V199" t="s">
        <v>1263</v>
      </c>
    </row>
    <row r="200" spans="1:25" x14ac:dyDescent="0.25">
      <c r="A200" t="s">
        <v>1765</v>
      </c>
      <c r="B200" t="s">
        <v>1724</v>
      </c>
      <c r="C200" t="s">
        <v>1728</v>
      </c>
      <c r="D200" t="s">
        <v>1740</v>
      </c>
      <c r="F200" t="str">
        <f t="shared" si="13"/>
        <v>JOSE MANUEL</v>
      </c>
      <c r="I200" t="s">
        <v>1254</v>
      </c>
      <c r="K200" t="str">
        <f t="shared" si="14"/>
        <v>H</v>
      </c>
      <c r="M200" t="s">
        <v>2422</v>
      </c>
      <c r="N200">
        <f t="shared" si="15"/>
        <v>13</v>
      </c>
      <c r="P200" t="s">
        <v>125</v>
      </c>
      <c r="Q200" t="s">
        <v>2437</v>
      </c>
      <c r="R200" s="30">
        <v>21</v>
      </c>
      <c r="V200" t="s">
        <v>1269</v>
      </c>
    </row>
    <row r="201" spans="1:25" x14ac:dyDescent="0.25">
      <c r="A201" t="s">
        <v>1850</v>
      </c>
      <c r="B201" t="s">
        <v>2038</v>
      </c>
      <c r="C201" t="s">
        <v>2039</v>
      </c>
      <c r="F201" t="str">
        <f t="shared" si="13"/>
        <v xml:space="preserve">GUILLERMO </v>
      </c>
      <c r="I201" t="s">
        <v>1259</v>
      </c>
      <c r="K201" t="str">
        <f t="shared" si="14"/>
        <v>H</v>
      </c>
      <c r="M201" t="s">
        <v>2423</v>
      </c>
      <c r="N201">
        <f t="shared" si="15"/>
        <v>13</v>
      </c>
      <c r="P201" t="s">
        <v>2630</v>
      </c>
      <c r="Q201" t="s">
        <v>2631</v>
      </c>
      <c r="R201" s="30" t="s">
        <v>1967</v>
      </c>
      <c r="S201" t="s">
        <v>2632</v>
      </c>
      <c r="T201" t="s">
        <v>13</v>
      </c>
      <c r="V201" t="s">
        <v>1275</v>
      </c>
    </row>
    <row r="202" spans="1:25" x14ac:dyDescent="0.25">
      <c r="A202" t="s">
        <v>1745</v>
      </c>
      <c r="B202" t="s">
        <v>1709</v>
      </c>
      <c r="C202" t="s">
        <v>1706</v>
      </c>
      <c r="D202" t="s">
        <v>1740</v>
      </c>
      <c r="F202" t="str">
        <f t="shared" si="13"/>
        <v>JUAN MANUEL</v>
      </c>
      <c r="I202" t="s">
        <v>1265</v>
      </c>
      <c r="K202" t="str">
        <f t="shared" si="14"/>
        <v>H</v>
      </c>
      <c r="M202" t="s">
        <v>2424</v>
      </c>
      <c r="N202">
        <f t="shared" si="15"/>
        <v>13</v>
      </c>
      <c r="P202" t="s">
        <v>2633</v>
      </c>
      <c r="Q202" t="s">
        <v>2634</v>
      </c>
      <c r="R202" s="30" t="s">
        <v>2635</v>
      </c>
      <c r="V202" t="s">
        <v>1281</v>
      </c>
    </row>
    <row r="203" spans="1:25" x14ac:dyDescent="0.25">
      <c r="A203" t="s">
        <v>2040</v>
      </c>
      <c r="B203" t="s">
        <v>1699</v>
      </c>
      <c r="C203" t="s">
        <v>1710</v>
      </c>
      <c r="F203" t="str">
        <f t="shared" si="13"/>
        <v xml:space="preserve">ALEJANDRO </v>
      </c>
      <c r="I203" t="s">
        <v>1272</v>
      </c>
      <c r="K203" t="str">
        <f t="shared" si="14"/>
        <v>H</v>
      </c>
      <c r="M203" t="s">
        <v>1271</v>
      </c>
      <c r="N203">
        <f t="shared" si="15"/>
        <v>13</v>
      </c>
      <c r="P203" t="s">
        <v>600</v>
      </c>
      <c r="Q203" t="s">
        <v>13</v>
      </c>
      <c r="V203" t="s">
        <v>1289</v>
      </c>
    </row>
    <row r="204" spans="1:25" x14ac:dyDescent="0.25">
      <c r="A204" t="s">
        <v>193</v>
      </c>
      <c r="B204" t="s">
        <v>1795</v>
      </c>
      <c r="C204" t="s">
        <v>1782</v>
      </c>
      <c r="F204" t="str">
        <f t="shared" si="13"/>
        <v xml:space="preserve">VICTOR </v>
      </c>
      <c r="I204" t="s">
        <v>1278</v>
      </c>
      <c r="K204" t="str">
        <f t="shared" si="14"/>
        <v>H</v>
      </c>
      <c r="M204" t="s">
        <v>1277</v>
      </c>
      <c r="N204">
        <f t="shared" si="15"/>
        <v>13</v>
      </c>
      <c r="P204" t="s">
        <v>2469</v>
      </c>
      <c r="Q204" t="s">
        <v>2470</v>
      </c>
      <c r="R204" s="30" t="s">
        <v>2437</v>
      </c>
      <c r="S204">
        <v>21</v>
      </c>
      <c r="V204" t="s">
        <v>1296</v>
      </c>
    </row>
    <row r="205" spans="1:25" x14ac:dyDescent="0.25">
      <c r="A205" t="s">
        <v>2041</v>
      </c>
      <c r="B205" t="s">
        <v>1862</v>
      </c>
      <c r="C205" t="s">
        <v>1707</v>
      </c>
      <c r="F205" t="str">
        <f t="shared" si="13"/>
        <v xml:space="preserve">FRANCISCO </v>
      </c>
      <c r="I205" t="s">
        <v>1284</v>
      </c>
      <c r="K205" t="str">
        <f t="shared" si="14"/>
        <v>H</v>
      </c>
      <c r="M205" t="s">
        <v>1283</v>
      </c>
      <c r="N205">
        <f t="shared" si="15"/>
        <v>13</v>
      </c>
      <c r="P205" t="s">
        <v>1719</v>
      </c>
      <c r="Q205" t="s">
        <v>2636</v>
      </c>
      <c r="R205" s="30" t="s">
        <v>2437</v>
      </c>
      <c r="S205">
        <v>99</v>
      </c>
      <c r="V205" t="s">
        <v>1303</v>
      </c>
    </row>
    <row r="206" spans="1:25" x14ac:dyDescent="0.25">
      <c r="A206" t="s">
        <v>2040</v>
      </c>
      <c r="B206" t="s">
        <v>1944</v>
      </c>
      <c r="C206" t="s">
        <v>1728</v>
      </c>
      <c r="D206" t="s">
        <v>1702</v>
      </c>
      <c r="F206" t="str">
        <f t="shared" si="13"/>
        <v>JOSE LUIS</v>
      </c>
      <c r="I206" t="s">
        <v>1292</v>
      </c>
      <c r="K206" t="str">
        <f t="shared" si="14"/>
        <v>H</v>
      </c>
      <c r="M206" t="s">
        <v>1291</v>
      </c>
      <c r="N206">
        <f t="shared" si="15"/>
        <v>13</v>
      </c>
      <c r="P206" t="s">
        <v>2637</v>
      </c>
      <c r="Q206" t="s">
        <v>2638</v>
      </c>
      <c r="R206" s="30" t="s">
        <v>2437</v>
      </c>
      <c r="S206" s="36">
        <v>43531</v>
      </c>
      <c r="V206" t="s">
        <v>1309</v>
      </c>
    </row>
    <row r="207" spans="1:25" x14ac:dyDescent="0.25">
      <c r="A207" t="s">
        <v>2042</v>
      </c>
      <c r="B207" t="s">
        <v>2043</v>
      </c>
      <c r="C207" t="s">
        <v>1735</v>
      </c>
      <c r="D207" t="s">
        <v>2044</v>
      </c>
      <c r="F207" t="str">
        <f t="shared" si="13"/>
        <v>GERARDO FIDEL</v>
      </c>
      <c r="I207" t="s">
        <v>1299</v>
      </c>
      <c r="K207" t="str">
        <f t="shared" si="14"/>
        <v>H</v>
      </c>
      <c r="M207" t="s">
        <v>1298</v>
      </c>
      <c r="N207">
        <f t="shared" si="15"/>
        <v>13</v>
      </c>
      <c r="P207" t="s">
        <v>1706</v>
      </c>
      <c r="Q207" t="s">
        <v>2639</v>
      </c>
      <c r="R207" s="30" t="s">
        <v>2640</v>
      </c>
      <c r="S207" t="s">
        <v>2437</v>
      </c>
      <c r="T207">
        <v>1653</v>
      </c>
      <c r="V207" t="s">
        <v>1317</v>
      </c>
    </row>
    <row r="208" spans="1:25" x14ac:dyDescent="0.25">
      <c r="A208" t="s">
        <v>1767</v>
      </c>
      <c r="B208" t="s">
        <v>1731</v>
      </c>
      <c r="C208" t="s">
        <v>2045</v>
      </c>
      <c r="D208" t="s">
        <v>1703</v>
      </c>
      <c r="F208" t="str">
        <f t="shared" si="13"/>
        <v>MARCO ANTONIO</v>
      </c>
      <c r="I208" t="s">
        <v>1306</v>
      </c>
      <c r="K208" t="str">
        <f t="shared" si="14"/>
        <v>H</v>
      </c>
      <c r="M208" t="s">
        <v>1305</v>
      </c>
      <c r="N208">
        <f t="shared" si="15"/>
        <v>13</v>
      </c>
      <c r="P208" t="s">
        <v>2486</v>
      </c>
      <c r="Q208" t="s">
        <v>2472</v>
      </c>
      <c r="R208" s="30" t="s">
        <v>2473</v>
      </c>
      <c r="S208" t="s">
        <v>13</v>
      </c>
      <c r="V208" t="s">
        <v>1323</v>
      </c>
    </row>
    <row r="209" spans="1:23" x14ac:dyDescent="0.25">
      <c r="A209" t="s">
        <v>1814</v>
      </c>
      <c r="B209" t="s">
        <v>2046</v>
      </c>
      <c r="C209" t="s">
        <v>1728</v>
      </c>
      <c r="F209" t="str">
        <f t="shared" si="13"/>
        <v xml:space="preserve">JOSE </v>
      </c>
      <c r="I209" t="s">
        <v>1312</v>
      </c>
      <c r="K209" t="str">
        <f t="shared" si="14"/>
        <v>H</v>
      </c>
      <c r="M209" t="s">
        <v>1311</v>
      </c>
      <c r="N209">
        <f t="shared" si="15"/>
        <v>13</v>
      </c>
      <c r="P209" t="s">
        <v>1967</v>
      </c>
      <c r="Q209" t="s">
        <v>2641</v>
      </c>
      <c r="R209" s="30" t="s">
        <v>2642</v>
      </c>
      <c r="S209" t="s">
        <v>2643</v>
      </c>
      <c r="T209" t="s">
        <v>2504</v>
      </c>
      <c r="U209">
        <v>9</v>
      </c>
      <c r="V209" t="s">
        <v>1330</v>
      </c>
      <c r="W209">
        <v>10</v>
      </c>
    </row>
    <row r="210" spans="1:23" x14ac:dyDescent="0.25">
      <c r="A210" t="s">
        <v>1718</v>
      </c>
      <c r="B210" t="s">
        <v>1766</v>
      </c>
      <c r="C210" t="s">
        <v>1710</v>
      </c>
      <c r="F210" t="str">
        <f t="shared" si="13"/>
        <v xml:space="preserve">ALEJANDRO </v>
      </c>
      <c r="I210" t="s">
        <v>1320</v>
      </c>
      <c r="K210" t="str">
        <f t="shared" si="14"/>
        <v>H</v>
      </c>
      <c r="M210" t="s">
        <v>1319</v>
      </c>
      <c r="N210">
        <f t="shared" si="15"/>
        <v>13</v>
      </c>
      <c r="P210" t="s">
        <v>2591</v>
      </c>
      <c r="Q210" t="s">
        <v>2437</v>
      </c>
      <c r="R210" s="30">
        <v>23</v>
      </c>
      <c r="S210" t="s">
        <v>2438</v>
      </c>
      <c r="V210" t="s">
        <v>1337</v>
      </c>
    </row>
    <row r="211" spans="1:23" x14ac:dyDescent="0.25">
      <c r="A211" t="s">
        <v>1754</v>
      </c>
      <c r="B211" t="s">
        <v>2047</v>
      </c>
      <c r="C211" t="s">
        <v>1706</v>
      </c>
      <c r="D211" t="s">
        <v>1728</v>
      </c>
      <c r="F211" t="str">
        <f t="shared" si="13"/>
        <v>JUAN JOSE</v>
      </c>
      <c r="I211" t="s">
        <v>1326</v>
      </c>
      <c r="K211" t="str">
        <f t="shared" si="14"/>
        <v>H</v>
      </c>
      <c r="M211" t="s">
        <v>1325</v>
      </c>
      <c r="N211">
        <f t="shared" si="15"/>
        <v>13</v>
      </c>
      <c r="P211" t="s">
        <v>2474</v>
      </c>
      <c r="Q211" t="s">
        <v>1967</v>
      </c>
      <c r="R211" s="30" t="s">
        <v>2644</v>
      </c>
      <c r="S211" t="s">
        <v>2437</v>
      </c>
      <c r="T211">
        <v>3</v>
      </c>
      <c r="V211" t="s">
        <v>1345</v>
      </c>
    </row>
    <row r="212" spans="1:23" x14ac:dyDescent="0.25">
      <c r="A212" t="s">
        <v>1862</v>
      </c>
      <c r="B212" t="s">
        <v>1952</v>
      </c>
      <c r="C212" t="s">
        <v>1923</v>
      </c>
      <c r="F212" t="str">
        <f t="shared" si="13"/>
        <v xml:space="preserve">ADOLFO </v>
      </c>
      <c r="I212" t="s">
        <v>1333</v>
      </c>
      <c r="K212" t="str">
        <f t="shared" si="14"/>
        <v>H</v>
      </c>
      <c r="M212" t="s">
        <v>1332</v>
      </c>
      <c r="N212">
        <f t="shared" si="15"/>
        <v>13</v>
      </c>
      <c r="P212" t="s">
        <v>2474</v>
      </c>
      <c r="Q212" t="s">
        <v>173</v>
      </c>
      <c r="R212" s="30" t="s">
        <v>13</v>
      </c>
      <c r="V212" t="s">
        <v>1352</v>
      </c>
    </row>
    <row r="213" spans="1:23" x14ac:dyDescent="0.25">
      <c r="A213" t="s">
        <v>2048</v>
      </c>
      <c r="B213" t="s">
        <v>2049</v>
      </c>
      <c r="C213" t="s">
        <v>1881</v>
      </c>
      <c r="D213" t="s">
        <v>2050</v>
      </c>
      <c r="F213" t="str">
        <f t="shared" si="13"/>
        <v>HECTOR AMAURY</v>
      </c>
      <c r="I213" t="s">
        <v>1340</v>
      </c>
      <c r="K213" t="str">
        <f t="shared" si="14"/>
        <v>H</v>
      </c>
      <c r="M213" t="s">
        <v>1339</v>
      </c>
      <c r="N213">
        <f t="shared" si="15"/>
        <v>13</v>
      </c>
      <c r="P213" t="s">
        <v>2645</v>
      </c>
      <c r="Q213" t="s">
        <v>2437</v>
      </c>
      <c r="R213" s="30">
        <v>157</v>
      </c>
      <c r="V213" t="s">
        <v>1359</v>
      </c>
    </row>
    <row r="214" spans="1:23" x14ac:dyDescent="0.25">
      <c r="A214" t="s">
        <v>1704</v>
      </c>
      <c r="B214" t="s">
        <v>1705</v>
      </c>
      <c r="C214" t="s">
        <v>1858</v>
      </c>
      <c r="D214" t="s">
        <v>1921</v>
      </c>
      <c r="F214" t="str">
        <f t="shared" si="13"/>
        <v>GUSTAVO ALONSO</v>
      </c>
      <c r="I214" t="s">
        <v>1348</v>
      </c>
      <c r="K214" t="str">
        <f t="shared" si="14"/>
        <v>H</v>
      </c>
      <c r="M214" t="s">
        <v>1347</v>
      </c>
      <c r="N214">
        <f t="shared" si="15"/>
        <v>13</v>
      </c>
      <c r="P214" t="s">
        <v>2454</v>
      </c>
      <c r="Q214" t="s">
        <v>1823</v>
      </c>
      <c r="R214" s="30" t="s">
        <v>2449</v>
      </c>
      <c r="S214" t="s">
        <v>2646</v>
      </c>
      <c r="T214" t="s">
        <v>2437</v>
      </c>
      <c r="U214">
        <v>4052</v>
      </c>
      <c r="V214" t="s">
        <v>1366</v>
      </c>
    </row>
    <row r="215" spans="1:23" x14ac:dyDescent="0.25">
      <c r="A215" t="s">
        <v>2051</v>
      </c>
      <c r="B215" t="s">
        <v>1777</v>
      </c>
      <c r="C215" t="s">
        <v>2052</v>
      </c>
      <c r="F215" t="str">
        <f t="shared" si="13"/>
        <v xml:space="preserve">RAFAEL </v>
      </c>
      <c r="I215" t="s">
        <v>1355</v>
      </c>
      <c r="K215" t="str">
        <f t="shared" si="14"/>
        <v>H</v>
      </c>
      <c r="M215" t="s">
        <v>1354</v>
      </c>
      <c r="N215">
        <f t="shared" si="15"/>
        <v>13</v>
      </c>
      <c r="P215" t="s">
        <v>2647</v>
      </c>
      <c r="Q215" t="s">
        <v>2648</v>
      </c>
      <c r="R215" s="30" t="s">
        <v>2437</v>
      </c>
      <c r="S215">
        <v>101</v>
      </c>
      <c r="V215" t="s">
        <v>1374</v>
      </c>
    </row>
    <row r="216" spans="1:23" x14ac:dyDescent="0.25">
      <c r="A216" t="s">
        <v>1767</v>
      </c>
      <c r="B216" t="s">
        <v>2053</v>
      </c>
      <c r="C216" t="s">
        <v>2054</v>
      </c>
      <c r="F216" t="str">
        <f t="shared" si="13"/>
        <v xml:space="preserve">SANTIAGO </v>
      </c>
      <c r="I216" t="s">
        <v>1362</v>
      </c>
      <c r="K216" t="str">
        <f t="shared" si="14"/>
        <v>H</v>
      </c>
      <c r="M216" t="s">
        <v>2425</v>
      </c>
      <c r="N216">
        <f t="shared" si="15"/>
        <v>13</v>
      </c>
      <c r="P216" t="s">
        <v>2649</v>
      </c>
      <c r="Q216" t="s">
        <v>2437</v>
      </c>
      <c r="R216" s="30">
        <v>31</v>
      </c>
      <c r="V216" t="s">
        <v>1382</v>
      </c>
    </row>
    <row r="217" spans="1:23" x14ac:dyDescent="0.25">
      <c r="A217" t="s">
        <v>1767</v>
      </c>
      <c r="B217" t="s">
        <v>1838</v>
      </c>
      <c r="C217" t="s">
        <v>1747</v>
      </c>
      <c r="D217" t="s">
        <v>1804</v>
      </c>
      <c r="F217" t="str">
        <f t="shared" si="13"/>
        <v>JULIO EDUARDO</v>
      </c>
      <c r="I217" t="s">
        <v>1369</v>
      </c>
      <c r="K217" t="str">
        <f t="shared" si="14"/>
        <v>H</v>
      </c>
      <c r="M217" t="s">
        <v>1368</v>
      </c>
      <c r="N217">
        <f t="shared" si="15"/>
        <v>13</v>
      </c>
      <c r="P217" t="s">
        <v>2553</v>
      </c>
      <c r="Q217" t="s">
        <v>1823</v>
      </c>
      <c r="R217" s="30" t="s">
        <v>2483</v>
      </c>
      <c r="S217" t="s">
        <v>2528</v>
      </c>
      <c r="T217" t="s">
        <v>2650</v>
      </c>
      <c r="U217" t="s">
        <v>2464</v>
      </c>
      <c r="V217" t="s">
        <v>1388</v>
      </c>
    </row>
    <row r="218" spans="1:23" x14ac:dyDescent="0.25">
      <c r="A218" t="s">
        <v>2055</v>
      </c>
      <c r="B218" t="s">
        <v>1850</v>
      </c>
      <c r="C218" t="s">
        <v>1706</v>
      </c>
      <c r="D218" t="s">
        <v>2056</v>
      </c>
      <c r="F218" t="str">
        <f t="shared" si="13"/>
        <v>JUAN ROSENDO</v>
      </c>
      <c r="I218" t="s">
        <v>1377</v>
      </c>
      <c r="K218" t="str">
        <f t="shared" si="14"/>
        <v>H</v>
      </c>
      <c r="M218" t="s">
        <v>1376</v>
      </c>
      <c r="N218">
        <f t="shared" si="15"/>
        <v>13</v>
      </c>
      <c r="P218" t="s">
        <v>2651</v>
      </c>
      <c r="Q218" t="s">
        <v>2437</v>
      </c>
      <c r="R218" s="30">
        <v>205</v>
      </c>
      <c r="V218" t="s">
        <v>1396</v>
      </c>
    </row>
    <row r="219" spans="1:23" x14ac:dyDescent="0.25">
      <c r="A219" t="s">
        <v>1733</v>
      </c>
      <c r="B219" t="s">
        <v>1715</v>
      </c>
      <c r="C219" t="s">
        <v>2057</v>
      </c>
      <c r="D219" t="s">
        <v>1735</v>
      </c>
      <c r="F219" t="str">
        <f t="shared" si="13"/>
        <v>ARAM GERARDO</v>
      </c>
      <c r="I219" t="s">
        <v>1385</v>
      </c>
      <c r="K219" t="str">
        <f t="shared" si="14"/>
        <v>H</v>
      </c>
      <c r="M219" t="s">
        <v>1384</v>
      </c>
      <c r="N219">
        <f t="shared" si="15"/>
        <v>13</v>
      </c>
      <c r="P219" t="s">
        <v>2553</v>
      </c>
      <c r="Q219" t="s">
        <v>1823</v>
      </c>
      <c r="R219" s="30" t="s">
        <v>2449</v>
      </c>
      <c r="S219" t="s">
        <v>2652</v>
      </c>
      <c r="T219" t="s">
        <v>2653</v>
      </c>
      <c r="U219">
        <v>19</v>
      </c>
      <c r="V219" t="s">
        <v>1404</v>
      </c>
    </row>
    <row r="220" spans="1:23" x14ac:dyDescent="0.25">
      <c r="A220" t="s">
        <v>1869</v>
      </c>
      <c r="B220" t="s">
        <v>1850</v>
      </c>
      <c r="C220" t="s">
        <v>1889</v>
      </c>
      <c r="D220" t="s">
        <v>2058</v>
      </c>
      <c r="F220" t="str">
        <f t="shared" si="13"/>
        <v>ANGEL LAURO</v>
      </c>
      <c r="I220" t="s">
        <v>1391</v>
      </c>
      <c r="K220" t="str">
        <f t="shared" si="14"/>
        <v>H</v>
      </c>
      <c r="M220" t="s">
        <v>1390</v>
      </c>
      <c r="N220">
        <f t="shared" si="15"/>
        <v>13</v>
      </c>
      <c r="P220" t="s">
        <v>2440</v>
      </c>
      <c r="Q220" t="s">
        <v>1728</v>
      </c>
      <c r="R220" s="30" t="s">
        <v>2654</v>
      </c>
      <c r="V220" t="s">
        <v>1411</v>
      </c>
    </row>
    <row r="221" spans="1:23" x14ac:dyDescent="0.25">
      <c r="A221" t="s">
        <v>2059</v>
      </c>
      <c r="B221" t="s">
        <v>1849</v>
      </c>
      <c r="C221" t="s">
        <v>1703</v>
      </c>
      <c r="F221" t="str">
        <f t="shared" si="13"/>
        <v xml:space="preserve">ANTONIO </v>
      </c>
      <c r="I221" t="s">
        <v>1399</v>
      </c>
      <c r="K221" t="str">
        <f t="shared" si="14"/>
        <v>H</v>
      </c>
      <c r="M221" t="s">
        <v>1398</v>
      </c>
      <c r="N221">
        <f t="shared" si="15"/>
        <v>13</v>
      </c>
      <c r="P221" t="s">
        <v>2655</v>
      </c>
      <c r="Q221" t="s">
        <v>2437</v>
      </c>
      <c r="R221" s="30">
        <v>11</v>
      </c>
      <c r="V221" t="s">
        <v>1417</v>
      </c>
    </row>
    <row r="222" spans="1:23" x14ac:dyDescent="0.25">
      <c r="A222" t="s">
        <v>2060</v>
      </c>
      <c r="B222" t="s">
        <v>2061</v>
      </c>
      <c r="C222" t="s">
        <v>1735</v>
      </c>
      <c r="F222" t="str">
        <f t="shared" si="13"/>
        <v xml:space="preserve">GERARDO </v>
      </c>
      <c r="I222" t="s">
        <v>1407</v>
      </c>
      <c r="K222" t="str">
        <f t="shared" si="14"/>
        <v>H</v>
      </c>
      <c r="M222" t="s">
        <v>1406</v>
      </c>
      <c r="N222">
        <f t="shared" si="15"/>
        <v>13</v>
      </c>
      <c r="P222" t="s">
        <v>1706</v>
      </c>
      <c r="Q222" t="s">
        <v>1823</v>
      </c>
      <c r="R222" s="30" t="s">
        <v>1884</v>
      </c>
      <c r="S222" t="s">
        <v>1930</v>
      </c>
      <c r="T222" t="s">
        <v>13</v>
      </c>
      <c r="V222" t="s">
        <v>1425</v>
      </c>
    </row>
    <row r="223" spans="1:23" x14ac:dyDescent="0.25">
      <c r="A223" t="s">
        <v>1715</v>
      </c>
      <c r="B223" t="s">
        <v>2062</v>
      </c>
      <c r="C223" t="s">
        <v>1821</v>
      </c>
      <c r="F223" t="str">
        <f t="shared" si="13"/>
        <v xml:space="preserve">ALFREDO </v>
      </c>
      <c r="I223" t="s">
        <v>1414</v>
      </c>
      <c r="K223" t="str">
        <f t="shared" si="14"/>
        <v>H</v>
      </c>
      <c r="M223" t="s">
        <v>1413</v>
      </c>
      <c r="N223">
        <f t="shared" si="15"/>
        <v>13</v>
      </c>
      <c r="P223" t="s">
        <v>2656</v>
      </c>
      <c r="Q223">
        <v>12</v>
      </c>
      <c r="R223" s="30" t="s">
        <v>1823</v>
      </c>
      <c r="S223" t="s">
        <v>2629</v>
      </c>
      <c r="T223" t="s">
        <v>13</v>
      </c>
      <c r="V223" t="s">
        <v>1431</v>
      </c>
    </row>
    <row r="224" spans="1:23" x14ac:dyDescent="0.25">
      <c r="A224" t="s">
        <v>1838</v>
      </c>
      <c r="B224" t="s">
        <v>1848</v>
      </c>
      <c r="C224" t="s">
        <v>1710</v>
      </c>
      <c r="F224" t="str">
        <f t="shared" si="13"/>
        <v xml:space="preserve">ALEJANDRO </v>
      </c>
      <c r="I224" t="s">
        <v>1420</v>
      </c>
      <c r="K224" t="str">
        <f t="shared" si="14"/>
        <v>H</v>
      </c>
      <c r="M224" t="s">
        <v>1419</v>
      </c>
      <c r="N224">
        <f t="shared" si="15"/>
        <v>13</v>
      </c>
      <c r="P224" t="s">
        <v>2553</v>
      </c>
      <c r="Q224" t="s">
        <v>2657</v>
      </c>
      <c r="R224" s="30" t="s">
        <v>2658</v>
      </c>
      <c r="S224">
        <v>10</v>
      </c>
      <c r="V224" t="s">
        <v>1438</v>
      </c>
    </row>
    <row r="225" spans="1:22" x14ac:dyDescent="0.25">
      <c r="A225" t="s">
        <v>1777</v>
      </c>
      <c r="B225" t="s">
        <v>2063</v>
      </c>
      <c r="C225" t="s">
        <v>1858</v>
      </c>
      <c r="F225" t="str">
        <f t="shared" si="13"/>
        <v xml:space="preserve">GUSTAVO </v>
      </c>
      <c r="I225" t="s">
        <v>1427</v>
      </c>
      <c r="K225" t="str">
        <f t="shared" si="14"/>
        <v>H</v>
      </c>
      <c r="M225" t="s">
        <v>2426</v>
      </c>
      <c r="N225">
        <f t="shared" si="15"/>
        <v>13</v>
      </c>
      <c r="P225" t="s">
        <v>2011</v>
      </c>
      <c r="Q225" t="s">
        <v>2659</v>
      </c>
      <c r="R225" s="30" t="s">
        <v>2437</v>
      </c>
      <c r="S225">
        <v>1962</v>
      </c>
    </row>
    <row r="226" spans="1:22" x14ac:dyDescent="0.25">
      <c r="A226" t="s">
        <v>1822</v>
      </c>
      <c r="B226" t="s">
        <v>1795</v>
      </c>
      <c r="C226" t="s">
        <v>1728</v>
      </c>
      <c r="D226" t="s">
        <v>2064</v>
      </c>
      <c r="F226" t="str">
        <f t="shared" si="13"/>
        <v>JOSE PRISCILIANO</v>
      </c>
      <c r="I226" t="s">
        <v>1434</v>
      </c>
      <c r="K226" t="str">
        <f t="shared" si="14"/>
        <v>H</v>
      </c>
      <c r="M226" t="s">
        <v>1433</v>
      </c>
      <c r="N226">
        <f t="shared" si="15"/>
        <v>13</v>
      </c>
      <c r="P226" t="s">
        <v>2558</v>
      </c>
      <c r="Q226">
        <v>17</v>
      </c>
      <c r="R226" s="30" t="s">
        <v>1818</v>
      </c>
      <c r="S226" s="36">
        <v>43501</v>
      </c>
      <c r="V226" t="s">
        <v>1450</v>
      </c>
    </row>
    <row r="227" spans="1:22" x14ac:dyDescent="0.25">
      <c r="A227" t="s">
        <v>2065</v>
      </c>
      <c r="B227" t="s">
        <v>2066</v>
      </c>
      <c r="C227" t="s">
        <v>1784</v>
      </c>
      <c r="D227" t="s">
        <v>1915</v>
      </c>
      <c r="F227" t="str">
        <f t="shared" si="13"/>
        <v>JESUS ERNESTO</v>
      </c>
      <c r="I227" t="s">
        <v>1441</v>
      </c>
      <c r="K227" t="str">
        <f t="shared" si="14"/>
        <v>H</v>
      </c>
      <c r="M227" t="s">
        <v>1440</v>
      </c>
      <c r="N227">
        <f t="shared" si="15"/>
        <v>13</v>
      </c>
      <c r="P227" t="s">
        <v>2625</v>
      </c>
      <c r="Q227" t="s">
        <v>2660</v>
      </c>
      <c r="R227" s="30" t="s">
        <v>193</v>
      </c>
      <c r="S227" t="s">
        <v>2661</v>
      </c>
      <c r="T227">
        <v>18</v>
      </c>
    </row>
    <row r="228" spans="1:22" x14ac:dyDescent="0.25">
      <c r="A228" t="s">
        <v>1759</v>
      </c>
      <c r="B228" t="s">
        <v>2067</v>
      </c>
      <c r="C228" t="s">
        <v>2068</v>
      </c>
      <c r="D228" t="s">
        <v>2069</v>
      </c>
      <c r="F228" t="str">
        <f t="shared" si="13"/>
        <v>ADAN ABEL</v>
      </c>
      <c r="I228" t="s">
        <v>1447</v>
      </c>
      <c r="K228" t="str">
        <f t="shared" si="14"/>
        <v>H</v>
      </c>
      <c r="M228" t="s">
        <v>1446</v>
      </c>
      <c r="N228">
        <f t="shared" si="15"/>
        <v>13</v>
      </c>
      <c r="P228" t="s">
        <v>2662</v>
      </c>
      <c r="Q228" t="s">
        <v>2663</v>
      </c>
      <c r="V228" t="s">
        <v>1457</v>
      </c>
    </row>
    <row r="229" spans="1:22" x14ac:dyDescent="0.25">
      <c r="A229" t="s">
        <v>2070</v>
      </c>
      <c r="B229" t="s">
        <v>2071</v>
      </c>
      <c r="F229" t="str">
        <f t="shared" si="13"/>
        <v xml:space="preserve"> </v>
      </c>
      <c r="I229" t="s">
        <v>1453</v>
      </c>
      <c r="K229" t="str">
        <f t="shared" si="14"/>
        <v>H</v>
      </c>
      <c r="M229" t="s">
        <v>1452</v>
      </c>
      <c r="N229">
        <f t="shared" si="15"/>
        <v>13</v>
      </c>
      <c r="P229" t="s">
        <v>2664</v>
      </c>
      <c r="Q229" t="s">
        <v>2665</v>
      </c>
      <c r="R229" s="30" t="s">
        <v>2666</v>
      </c>
      <c r="V229" t="s">
        <v>1465</v>
      </c>
    </row>
    <row r="230" spans="1:22" x14ac:dyDescent="0.25">
      <c r="A230" t="s">
        <v>1759</v>
      </c>
      <c r="B230" t="s">
        <v>2067</v>
      </c>
      <c r="C230" t="s">
        <v>2068</v>
      </c>
      <c r="D230" t="s">
        <v>2069</v>
      </c>
      <c r="F230" t="str">
        <f t="shared" si="13"/>
        <v>ADAN ABEL</v>
      </c>
      <c r="I230" t="s">
        <v>1447</v>
      </c>
      <c r="K230" t="str">
        <f t="shared" si="14"/>
        <v>H</v>
      </c>
      <c r="M230" t="s">
        <v>1446</v>
      </c>
      <c r="N230">
        <f t="shared" si="15"/>
        <v>13</v>
      </c>
      <c r="P230" t="s">
        <v>2662</v>
      </c>
      <c r="Q230" t="s">
        <v>2663</v>
      </c>
      <c r="V230" t="s">
        <v>1471</v>
      </c>
    </row>
    <row r="231" spans="1:22" x14ac:dyDescent="0.25">
      <c r="A231" t="s">
        <v>2072</v>
      </c>
      <c r="B231" t="s">
        <v>2073</v>
      </c>
      <c r="C231" t="s">
        <v>1888</v>
      </c>
      <c r="D231" t="s">
        <v>1889</v>
      </c>
      <c r="F231" t="str">
        <f t="shared" si="13"/>
        <v>MIGUEL ANGEL</v>
      </c>
      <c r="I231" t="s">
        <v>1460</v>
      </c>
      <c r="K231" t="str">
        <f t="shared" si="14"/>
        <v>H</v>
      </c>
      <c r="M231" t="s">
        <v>1459</v>
      </c>
      <c r="N231">
        <f t="shared" si="15"/>
        <v>13</v>
      </c>
      <c r="P231" t="s">
        <v>2667</v>
      </c>
      <c r="Q231" t="s">
        <v>2668</v>
      </c>
      <c r="R231" s="30" t="s">
        <v>1823</v>
      </c>
      <c r="S231" t="s">
        <v>2483</v>
      </c>
      <c r="T231" t="s">
        <v>2669</v>
      </c>
      <c r="U231" t="s">
        <v>2437</v>
      </c>
      <c r="V231" t="s">
        <v>1479</v>
      </c>
    </row>
    <row r="232" spans="1:22" x14ac:dyDescent="0.25">
      <c r="A232" t="s">
        <v>2074</v>
      </c>
      <c r="B232" t="s">
        <v>1709</v>
      </c>
      <c r="C232" t="s">
        <v>1747</v>
      </c>
      <c r="D232" t="s">
        <v>1748</v>
      </c>
      <c r="F232" t="str">
        <f t="shared" si="13"/>
        <v>JULIO CESAR</v>
      </c>
      <c r="I232" t="s">
        <v>1468</v>
      </c>
      <c r="K232" t="str">
        <f t="shared" si="14"/>
        <v>H</v>
      </c>
      <c r="M232" t="s">
        <v>1467</v>
      </c>
      <c r="N232">
        <f t="shared" si="15"/>
        <v>13</v>
      </c>
      <c r="P232" t="s">
        <v>2670</v>
      </c>
      <c r="Q232">
        <v>690</v>
      </c>
      <c r="V232" t="s">
        <v>1487</v>
      </c>
    </row>
    <row r="233" spans="1:22" x14ac:dyDescent="0.25">
      <c r="A233" t="s">
        <v>2075</v>
      </c>
      <c r="B233" t="s">
        <v>1754</v>
      </c>
      <c r="C233" t="s">
        <v>1710</v>
      </c>
      <c r="F233" t="str">
        <f t="shared" si="13"/>
        <v xml:space="preserve">ALEJANDRO </v>
      </c>
      <c r="I233" t="s">
        <v>1474</v>
      </c>
      <c r="K233" t="str">
        <f t="shared" si="14"/>
        <v>H</v>
      </c>
      <c r="M233" t="s">
        <v>1473</v>
      </c>
      <c r="N233">
        <f t="shared" si="15"/>
        <v>13</v>
      </c>
      <c r="P233" t="s">
        <v>2637</v>
      </c>
      <c r="Q233" t="s">
        <v>2671</v>
      </c>
      <c r="R233" s="30" t="s">
        <v>2437</v>
      </c>
      <c r="S233">
        <v>13</v>
      </c>
      <c r="V233" t="s">
        <v>1494</v>
      </c>
    </row>
    <row r="234" spans="1:22" x14ac:dyDescent="0.25">
      <c r="A234" t="s">
        <v>2076</v>
      </c>
      <c r="B234" t="s">
        <v>2077</v>
      </c>
      <c r="C234" t="s">
        <v>1748</v>
      </c>
      <c r="D234" t="s">
        <v>1710</v>
      </c>
      <c r="F234" t="str">
        <f t="shared" si="13"/>
        <v>CESAR ALEJANDRO</v>
      </c>
      <c r="I234" t="s">
        <v>1482</v>
      </c>
      <c r="K234" t="str">
        <f t="shared" si="14"/>
        <v>H</v>
      </c>
      <c r="M234" t="s">
        <v>1481</v>
      </c>
      <c r="N234">
        <f t="shared" si="15"/>
        <v>13</v>
      </c>
      <c r="P234" t="s">
        <v>1741</v>
      </c>
      <c r="Q234" t="s">
        <v>2672</v>
      </c>
      <c r="R234" s="30" t="s">
        <v>2437</v>
      </c>
      <c r="S234">
        <v>56</v>
      </c>
      <c r="V234" t="s">
        <v>1501</v>
      </c>
    </row>
    <row r="235" spans="1:22" x14ac:dyDescent="0.25">
      <c r="A235" t="s">
        <v>1701</v>
      </c>
      <c r="B235" t="s">
        <v>1739</v>
      </c>
      <c r="C235" t="s">
        <v>2078</v>
      </c>
      <c r="F235" t="str">
        <f t="shared" si="13"/>
        <v xml:space="preserve">REMIGIO </v>
      </c>
      <c r="I235" t="s">
        <v>1490</v>
      </c>
      <c r="K235" t="str">
        <f t="shared" si="14"/>
        <v>H</v>
      </c>
      <c r="M235" t="s">
        <v>1489</v>
      </c>
      <c r="N235">
        <f t="shared" si="15"/>
        <v>13</v>
      </c>
      <c r="P235" t="s">
        <v>2571</v>
      </c>
      <c r="Q235" t="s">
        <v>2572</v>
      </c>
      <c r="R235" s="30" t="s">
        <v>2437</v>
      </c>
      <c r="S235">
        <v>30</v>
      </c>
      <c r="V235" t="s">
        <v>1508</v>
      </c>
    </row>
    <row r="236" spans="1:22" x14ac:dyDescent="0.25">
      <c r="A236" t="s">
        <v>2079</v>
      </c>
      <c r="B236" t="s">
        <v>2080</v>
      </c>
      <c r="C236" t="s">
        <v>2081</v>
      </c>
      <c r="F236" t="str">
        <f t="shared" si="13"/>
        <v xml:space="preserve">BONIFACIO </v>
      </c>
      <c r="I236" t="s">
        <v>1497</v>
      </c>
      <c r="K236" t="str">
        <f t="shared" si="14"/>
        <v>H</v>
      </c>
      <c r="M236" t="s">
        <v>1496</v>
      </c>
      <c r="N236">
        <f t="shared" si="15"/>
        <v>13</v>
      </c>
      <c r="P236" t="s">
        <v>2673</v>
      </c>
      <c r="Q236" t="s">
        <v>1841</v>
      </c>
      <c r="R236" s="30" t="s">
        <v>1823</v>
      </c>
      <c r="S236" t="s">
        <v>2674</v>
      </c>
      <c r="T236" t="s">
        <v>2437</v>
      </c>
      <c r="U236">
        <v>205</v>
      </c>
      <c r="V236" t="s">
        <v>1516</v>
      </c>
    </row>
    <row r="237" spans="1:22" x14ac:dyDescent="0.25">
      <c r="A237" t="s">
        <v>1859</v>
      </c>
      <c r="B237" t="s">
        <v>1862</v>
      </c>
      <c r="C237" t="s">
        <v>1888</v>
      </c>
      <c r="D237" t="s">
        <v>1889</v>
      </c>
      <c r="F237" t="str">
        <f t="shared" si="13"/>
        <v>MIGUEL ANGEL</v>
      </c>
      <c r="I237" t="s">
        <v>1504</v>
      </c>
      <c r="K237" t="str">
        <f t="shared" si="14"/>
        <v>H</v>
      </c>
      <c r="M237" t="s">
        <v>1503</v>
      </c>
      <c r="N237">
        <f t="shared" si="15"/>
        <v>13</v>
      </c>
      <c r="P237">
        <v>24</v>
      </c>
      <c r="Q237" t="s">
        <v>2675</v>
      </c>
      <c r="V237" t="s">
        <v>1523</v>
      </c>
    </row>
    <row r="238" spans="1:22" x14ac:dyDescent="0.25">
      <c r="A238" t="s">
        <v>2082</v>
      </c>
      <c r="B238" t="s">
        <v>1699</v>
      </c>
      <c r="C238" t="s">
        <v>2011</v>
      </c>
      <c r="F238" t="str">
        <f t="shared" si="13"/>
        <v xml:space="preserve">BERNARDO </v>
      </c>
      <c r="I238" t="s">
        <v>1511</v>
      </c>
      <c r="K238" t="str">
        <f t="shared" si="14"/>
        <v>H</v>
      </c>
      <c r="M238" t="s">
        <v>1510</v>
      </c>
      <c r="N238">
        <f t="shared" si="15"/>
        <v>13</v>
      </c>
      <c r="P238" t="s">
        <v>2486</v>
      </c>
      <c r="Q238">
        <v>9</v>
      </c>
      <c r="R238" s="30" t="s">
        <v>2437</v>
      </c>
      <c r="S238">
        <v>225</v>
      </c>
      <c r="V238" t="s">
        <v>1529</v>
      </c>
    </row>
    <row r="239" spans="1:22" x14ac:dyDescent="0.25">
      <c r="A239" t="s">
        <v>1787</v>
      </c>
      <c r="B239" t="s">
        <v>2083</v>
      </c>
      <c r="C239" t="s">
        <v>1710</v>
      </c>
      <c r="F239" t="str">
        <f t="shared" si="13"/>
        <v xml:space="preserve">ALEJANDRO </v>
      </c>
      <c r="I239" t="s">
        <v>1519</v>
      </c>
      <c r="K239" t="str">
        <f t="shared" si="14"/>
        <v>H</v>
      </c>
      <c r="M239" t="s">
        <v>1518</v>
      </c>
      <c r="N239">
        <f t="shared" si="15"/>
        <v>13</v>
      </c>
      <c r="P239" t="s">
        <v>2454</v>
      </c>
      <c r="Q239" t="s">
        <v>1823</v>
      </c>
      <c r="R239" s="30" t="s">
        <v>1884</v>
      </c>
      <c r="S239" t="s">
        <v>2676</v>
      </c>
      <c r="T239" t="s">
        <v>2677</v>
      </c>
      <c r="U239" t="s">
        <v>2678</v>
      </c>
      <c r="V239" t="s">
        <v>1536</v>
      </c>
    </row>
    <row r="240" spans="1:22" x14ac:dyDescent="0.25">
      <c r="A240" t="s">
        <v>1713</v>
      </c>
      <c r="B240" t="s">
        <v>1699</v>
      </c>
      <c r="C240" t="s">
        <v>1707</v>
      </c>
      <c r="D240" t="s">
        <v>1719</v>
      </c>
      <c r="F240" t="str">
        <f t="shared" si="13"/>
        <v>FRANCISCO JAVIER</v>
      </c>
      <c r="I240" t="s">
        <v>1526</v>
      </c>
      <c r="K240" t="str">
        <f t="shared" si="14"/>
        <v>H</v>
      </c>
      <c r="M240" t="s">
        <v>1525</v>
      </c>
      <c r="N240">
        <f t="shared" si="15"/>
        <v>13</v>
      </c>
      <c r="P240" t="s">
        <v>2679</v>
      </c>
      <c r="Q240" t="s">
        <v>1960</v>
      </c>
      <c r="R240" s="30" t="s">
        <v>2680</v>
      </c>
      <c r="S240" t="s">
        <v>2437</v>
      </c>
      <c r="T240">
        <v>602</v>
      </c>
      <c r="V240" t="s">
        <v>1544</v>
      </c>
    </row>
    <row r="241" spans="1:25" x14ac:dyDescent="0.25">
      <c r="A241" t="s">
        <v>2084</v>
      </c>
      <c r="B241" t="s">
        <v>2085</v>
      </c>
      <c r="C241" t="s">
        <v>1711</v>
      </c>
      <c r="F241" t="str">
        <f t="shared" si="13"/>
        <v xml:space="preserve">SERGIO </v>
      </c>
      <c r="I241" t="s">
        <v>1532</v>
      </c>
      <c r="K241" t="str">
        <f t="shared" si="14"/>
        <v>H</v>
      </c>
      <c r="M241" t="s">
        <v>1531</v>
      </c>
      <c r="N241">
        <f t="shared" si="15"/>
        <v>13</v>
      </c>
      <c r="P241" t="s">
        <v>2681</v>
      </c>
      <c r="Q241" t="s">
        <v>2682</v>
      </c>
      <c r="R241" s="30" t="s">
        <v>2683</v>
      </c>
      <c r="V241" t="s">
        <v>1552</v>
      </c>
    </row>
    <row r="242" spans="1:25" x14ac:dyDescent="0.25">
      <c r="A242" t="s">
        <v>1757</v>
      </c>
      <c r="B242" t="s">
        <v>2086</v>
      </c>
      <c r="C242" t="s">
        <v>1842</v>
      </c>
      <c r="F242" t="str">
        <f t="shared" si="13"/>
        <v xml:space="preserve">IVAN </v>
      </c>
      <c r="I242" t="s">
        <v>1539</v>
      </c>
      <c r="K242" t="str">
        <f t="shared" si="14"/>
        <v>H</v>
      </c>
      <c r="M242" t="s">
        <v>1538</v>
      </c>
      <c r="N242">
        <f t="shared" si="15"/>
        <v>13</v>
      </c>
      <c r="P242" t="s">
        <v>2436</v>
      </c>
      <c r="Q242" t="s">
        <v>2684</v>
      </c>
      <c r="R242" s="30" t="s">
        <v>13</v>
      </c>
      <c r="V242" t="s">
        <v>1558</v>
      </c>
    </row>
    <row r="243" spans="1:25" x14ac:dyDescent="0.25">
      <c r="A243" t="s">
        <v>2087</v>
      </c>
      <c r="B243" t="s">
        <v>1838</v>
      </c>
      <c r="C243" t="s">
        <v>1702</v>
      </c>
      <c r="D243" t="s">
        <v>1796</v>
      </c>
      <c r="F243" t="str">
        <f t="shared" si="13"/>
        <v>LUIS MARGARITO</v>
      </c>
      <c r="I243" t="s">
        <v>1547</v>
      </c>
      <c r="K243" t="str">
        <f t="shared" si="14"/>
        <v>H</v>
      </c>
      <c r="M243" t="s">
        <v>1546</v>
      </c>
      <c r="N243">
        <f t="shared" si="15"/>
        <v>13</v>
      </c>
      <c r="P243" t="s">
        <v>1829</v>
      </c>
      <c r="Q243" t="s">
        <v>193</v>
      </c>
      <c r="R243" s="30" t="s">
        <v>2437</v>
      </c>
      <c r="S243">
        <v>213</v>
      </c>
      <c r="V243" t="s">
        <v>1566</v>
      </c>
    </row>
    <row r="244" spans="1:25" x14ac:dyDescent="0.25">
      <c r="A244" t="s">
        <v>2088</v>
      </c>
      <c r="B244" t="s">
        <v>2089</v>
      </c>
      <c r="C244" t="s">
        <v>1728</v>
      </c>
      <c r="D244" t="s">
        <v>2090</v>
      </c>
      <c r="F244" t="str">
        <f t="shared" si="13"/>
        <v>JOSE MARIO</v>
      </c>
      <c r="I244" t="s">
        <v>1555</v>
      </c>
      <c r="K244" t="str">
        <f t="shared" si="14"/>
        <v>H</v>
      </c>
      <c r="M244" t="s">
        <v>1554</v>
      </c>
      <c r="N244">
        <f t="shared" si="15"/>
        <v>13</v>
      </c>
      <c r="P244" t="s">
        <v>2486</v>
      </c>
      <c r="Q244" t="s">
        <v>2465</v>
      </c>
      <c r="R244" s="30" t="s">
        <v>2685</v>
      </c>
      <c r="S244">
        <v>13</v>
      </c>
      <c r="V244" t="s">
        <v>1574</v>
      </c>
    </row>
    <row r="245" spans="1:25" x14ac:dyDescent="0.25">
      <c r="A245" t="s">
        <v>1795</v>
      </c>
      <c r="B245" t="s">
        <v>1813</v>
      </c>
      <c r="C245" t="s">
        <v>2039</v>
      </c>
      <c r="D245" t="s">
        <v>1703</v>
      </c>
      <c r="F245" t="str">
        <f t="shared" si="13"/>
        <v>GUILLERMO ANTONIO</v>
      </c>
      <c r="I245" t="s">
        <v>1561</v>
      </c>
      <c r="K245" t="str">
        <f t="shared" si="14"/>
        <v>H</v>
      </c>
      <c r="M245" t="s">
        <v>1560</v>
      </c>
      <c r="N245">
        <f t="shared" si="15"/>
        <v>13</v>
      </c>
      <c r="P245" t="s">
        <v>1845</v>
      </c>
      <c r="Q245" t="s">
        <v>717</v>
      </c>
      <c r="R245" s="30" t="s">
        <v>2437</v>
      </c>
      <c r="S245">
        <v>12</v>
      </c>
      <c r="V245" t="s">
        <v>1579</v>
      </c>
    </row>
    <row r="246" spans="1:25" x14ac:dyDescent="0.25">
      <c r="A246" t="s">
        <v>2091</v>
      </c>
      <c r="B246" t="s">
        <v>1838</v>
      </c>
      <c r="C246" t="s">
        <v>1782</v>
      </c>
      <c r="D246" t="s">
        <v>2092</v>
      </c>
      <c r="F246" t="str">
        <f t="shared" si="13"/>
        <v>VICTOR MODESTO</v>
      </c>
      <c r="I246" t="s">
        <v>1569</v>
      </c>
      <c r="K246" t="str">
        <f t="shared" si="14"/>
        <v>H</v>
      </c>
      <c r="M246" t="s">
        <v>1568</v>
      </c>
      <c r="N246">
        <f t="shared" si="15"/>
        <v>13</v>
      </c>
      <c r="P246" t="s">
        <v>2474</v>
      </c>
      <c r="Q246" t="s">
        <v>2686</v>
      </c>
      <c r="R246" s="30">
        <v>10</v>
      </c>
      <c r="V246" t="s">
        <v>1584</v>
      </c>
    </row>
    <row r="247" spans="1:25" x14ac:dyDescent="0.25">
      <c r="A247" t="s">
        <v>2093</v>
      </c>
      <c r="B247" t="s">
        <v>1870</v>
      </c>
      <c r="C247" t="s">
        <v>2039</v>
      </c>
      <c r="F247" t="str">
        <f t="shared" si="13"/>
        <v xml:space="preserve">GUILLERMO </v>
      </c>
      <c r="I247" t="s">
        <v>1577</v>
      </c>
      <c r="K247" t="str">
        <f t="shared" si="14"/>
        <v>H</v>
      </c>
      <c r="M247" t="s">
        <v>1576</v>
      </c>
      <c r="N247">
        <f t="shared" si="15"/>
        <v>13</v>
      </c>
      <c r="P247" t="s">
        <v>2474</v>
      </c>
      <c r="Q247" t="s">
        <v>2687</v>
      </c>
      <c r="R247" s="30" t="s">
        <v>2688</v>
      </c>
      <c r="V247" t="s">
        <v>1589</v>
      </c>
    </row>
    <row r="248" spans="1:25" x14ac:dyDescent="0.25">
      <c r="A248" t="s">
        <v>2094</v>
      </c>
      <c r="B248" t="s">
        <v>2095</v>
      </c>
      <c r="C248" t="s">
        <v>1706</v>
      </c>
      <c r="D248" t="s">
        <v>1791</v>
      </c>
      <c r="F248" t="str">
        <f t="shared" si="13"/>
        <v>JUAN CARLOS</v>
      </c>
      <c r="I248" t="s">
        <v>1581</v>
      </c>
      <c r="K248" t="str">
        <f t="shared" si="14"/>
        <v>H</v>
      </c>
      <c r="M248" t="s">
        <v>2427</v>
      </c>
      <c r="N248">
        <f t="shared" si="15"/>
        <v>13</v>
      </c>
      <c r="P248" t="s">
        <v>2689</v>
      </c>
      <c r="Q248" t="s">
        <v>1823</v>
      </c>
      <c r="R248" s="30" t="s">
        <v>2690</v>
      </c>
      <c r="S248" t="s">
        <v>2691</v>
      </c>
      <c r="T248" t="s">
        <v>2692</v>
      </c>
      <c r="U248" t="s">
        <v>2481</v>
      </c>
      <c r="V248" t="s">
        <v>1594</v>
      </c>
      <c r="W248" t="s">
        <v>2693</v>
      </c>
      <c r="X248" t="s">
        <v>2466</v>
      </c>
      <c r="Y248">
        <v>1</v>
      </c>
    </row>
    <row r="249" spans="1:25" x14ac:dyDescent="0.25">
      <c r="A249" t="s">
        <v>1862</v>
      </c>
      <c r="B249" t="s">
        <v>1724</v>
      </c>
      <c r="C249" t="s">
        <v>1758</v>
      </c>
      <c r="F249" t="str">
        <f t="shared" si="13"/>
        <v xml:space="preserve">RICARDO </v>
      </c>
      <c r="I249" t="s">
        <v>1586</v>
      </c>
      <c r="K249" t="str">
        <f t="shared" si="14"/>
        <v>H</v>
      </c>
      <c r="M249" t="s">
        <v>2428</v>
      </c>
      <c r="N249">
        <f t="shared" si="15"/>
        <v>13</v>
      </c>
      <c r="P249" t="s">
        <v>2694</v>
      </c>
      <c r="Q249" t="s">
        <v>2434</v>
      </c>
      <c r="R249" s="30" t="s">
        <v>2534</v>
      </c>
      <c r="S249" t="s">
        <v>2466</v>
      </c>
      <c r="T249">
        <v>30</v>
      </c>
      <c r="V249" t="s">
        <v>1600</v>
      </c>
    </row>
    <row r="250" spans="1:25" x14ac:dyDescent="0.25">
      <c r="A250" t="s">
        <v>2096</v>
      </c>
      <c r="B250" t="s">
        <v>2097</v>
      </c>
      <c r="C250" t="s">
        <v>1885</v>
      </c>
      <c r="D250" t="s">
        <v>1841</v>
      </c>
      <c r="F250" t="str">
        <f t="shared" si="13"/>
        <v>ROSA PEDRO</v>
      </c>
      <c r="I250" t="s">
        <v>1591</v>
      </c>
      <c r="K250" t="str">
        <f t="shared" si="14"/>
        <v>H</v>
      </c>
      <c r="M250" t="s">
        <v>2429</v>
      </c>
      <c r="N250">
        <f t="shared" si="15"/>
        <v>13</v>
      </c>
      <c r="P250" t="s">
        <v>2695</v>
      </c>
      <c r="Q250" t="s">
        <v>2063</v>
      </c>
      <c r="R250" s="30">
        <v>317</v>
      </c>
      <c r="S250" t="s">
        <v>2696</v>
      </c>
      <c r="V250" t="s">
        <v>1607</v>
      </c>
    </row>
    <row r="251" spans="1:25" x14ac:dyDescent="0.25">
      <c r="A251" t="s">
        <v>1865</v>
      </c>
      <c r="B251" t="s">
        <v>1846</v>
      </c>
      <c r="C251" t="s">
        <v>1970</v>
      </c>
      <c r="F251" t="str">
        <f t="shared" si="13"/>
        <v xml:space="preserve">AGUSTIN </v>
      </c>
      <c r="I251" t="s">
        <v>1597</v>
      </c>
      <c r="K251" t="str">
        <f t="shared" si="14"/>
        <v>H</v>
      </c>
      <c r="M251" t="s">
        <v>1596</v>
      </c>
      <c r="N251">
        <f t="shared" si="15"/>
        <v>13</v>
      </c>
      <c r="P251" t="s">
        <v>2103</v>
      </c>
      <c r="Q251" t="s">
        <v>2697</v>
      </c>
      <c r="R251" s="30" t="s">
        <v>2698</v>
      </c>
    </row>
    <row r="252" spans="1:25" x14ac:dyDescent="0.25">
      <c r="A252" t="s">
        <v>1767</v>
      </c>
      <c r="B252" t="s">
        <v>1838</v>
      </c>
      <c r="C252" t="s">
        <v>2098</v>
      </c>
      <c r="F252" t="str">
        <f t="shared" si="13"/>
        <v xml:space="preserve">SATURNINO </v>
      </c>
      <c r="I252" t="s">
        <v>1603</v>
      </c>
      <c r="K252" t="str">
        <f t="shared" si="14"/>
        <v>H</v>
      </c>
      <c r="M252" t="s">
        <v>1602</v>
      </c>
      <c r="N252">
        <f t="shared" si="15"/>
        <v>13</v>
      </c>
      <c r="P252" t="s">
        <v>2699</v>
      </c>
      <c r="Q252" t="s">
        <v>2700</v>
      </c>
      <c r="R252" s="30">
        <v>85</v>
      </c>
      <c r="V252" t="s">
        <v>1617</v>
      </c>
    </row>
    <row r="253" spans="1:25" x14ac:dyDescent="0.25">
      <c r="A253" t="s">
        <v>1765</v>
      </c>
      <c r="B253" t="s">
        <v>1724</v>
      </c>
      <c r="C253" t="s">
        <v>2099</v>
      </c>
      <c r="F253" t="str">
        <f t="shared" si="13"/>
        <v xml:space="preserve">LORENZO </v>
      </c>
      <c r="I253" t="s">
        <v>1610</v>
      </c>
      <c r="K253" t="str">
        <f t="shared" si="14"/>
        <v>H</v>
      </c>
      <c r="M253" t="s">
        <v>1609</v>
      </c>
      <c r="N253">
        <f t="shared" si="15"/>
        <v>13</v>
      </c>
      <c r="P253" t="s">
        <v>1774</v>
      </c>
      <c r="Q253" t="s">
        <v>1850</v>
      </c>
      <c r="V253" t="s">
        <v>1622</v>
      </c>
    </row>
    <row r="254" spans="1:25" x14ac:dyDescent="0.25">
      <c r="A254" t="s">
        <v>2100</v>
      </c>
      <c r="B254" t="s">
        <v>2101</v>
      </c>
      <c r="C254" t="s">
        <v>1747</v>
      </c>
      <c r="D254" t="s">
        <v>1748</v>
      </c>
      <c r="F254" t="str">
        <f t="shared" si="13"/>
        <v>JULIO CESAR</v>
      </c>
      <c r="I254" t="s">
        <v>1615</v>
      </c>
      <c r="K254" t="str">
        <f t="shared" si="14"/>
        <v>H</v>
      </c>
      <c r="M254" t="s">
        <v>2430</v>
      </c>
      <c r="N254">
        <f t="shared" si="15"/>
        <v>13</v>
      </c>
      <c r="P254" t="s">
        <v>2701</v>
      </c>
      <c r="Q254" t="s">
        <v>1823</v>
      </c>
      <c r="R254" s="30" t="s">
        <v>2702</v>
      </c>
      <c r="S254" t="s">
        <v>2685</v>
      </c>
      <c r="T254">
        <v>29</v>
      </c>
      <c r="V254" t="s">
        <v>1628</v>
      </c>
    </row>
    <row r="255" spans="1:25" x14ac:dyDescent="0.25">
      <c r="A255" t="s">
        <v>1849</v>
      </c>
      <c r="B255" t="s">
        <v>1744</v>
      </c>
      <c r="C255" t="s">
        <v>1702</v>
      </c>
      <c r="D255" t="s">
        <v>1802</v>
      </c>
      <c r="F255" t="str">
        <f t="shared" si="13"/>
        <v>LUIS ALBERTO</v>
      </c>
      <c r="I255" t="s">
        <v>1619</v>
      </c>
      <c r="K255" t="str">
        <f t="shared" si="14"/>
        <v>H</v>
      </c>
      <c r="M255" t="s">
        <v>2431</v>
      </c>
      <c r="N255">
        <f t="shared" si="15"/>
        <v>13</v>
      </c>
      <c r="P255" t="s">
        <v>1716</v>
      </c>
      <c r="Q255" t="s">
        <v>2703</v>
      </c>
      <c r="R255" s="30" t="s">
        <v>2434</v>
      </c>
      <c r="S255">
        <v>6</v>
      </c>
      <c r="T255" t="s">
        <v>2466</v>
      </c>
      <c r="U255">
        <v>7</v>
      </c>
      <c r="V255" t="s">
        <v>1633</v>
      </c>
    </row>
    <row r="256" spans="1:25" x14ac:dyDescent="0.25">
      <c r="A256" t="s">
        <v>1832</v>
      </c>
      <c r="B256" t="s">
        <v>1913</v>
      </c>
      <c r="C256" t="s">
        <v>1728</v>
      </c>
      <c r="D256" t="s">
        <v>2102</v>
      </c>
      <c r="F256" t="str">
        <f t="shared" si="13"/>
        <v>JOSE PABLO</v>
      </c>
      <c r="I256" t="s">
        <v>1626</v>
      </c>
      <c r="K256" t="str">
        <f t="shared" si="14"/>
        <v>H</v>
      </c>
      <c r="M256" t="s">
        <v>1625</v>
      </c>
      <c r="N256">
        <f t="shared" si="15"/>
        <v>13</v>
      </c>
      <c r="P256" t="s">
        <v>2486</v>
      </c>
      <c r="Q256" t="s">
        <v>2704</v>
      </c>
      <c r="V256" t="s">
        <v>1638</v>
      </c>
    </row>
    <row r="257" spans="1:22" x14ac:dyDescent="0.25">
      <c r="A257" t="s">
        <v>2103</v>
      </c>
      <c r="B257" t="s">
        <v>1839</v>
      </c>
      <c r="C257" t="s">
        <v>2104</v>
      </c>
      <c r="F257" t="str">
        <f t="shared" si="13"/>
        <v xml:space="preserve">SERVANDO </v>
      </c>
      <c r="I257" t="s">
        <v>1631</v>
      </c>
      <c r="K257" t="str">
        <f t="shared" si="14"/>
        <v>H</v>
      </c>
      <c r="M257" t="s">
        <v>1630</v>
      </c>
      <c r="N257">
        <f t="shared" si="15"/>
        <v>13</v>
      </c>
      <c r="P257" t="s">
        <v>2705</v>
      </c>
      <c r="Q257" t="s">
        <v>1823</v>
      </c>
      <c r="R257" s="30" t="s">
        <v>1884</v>
      </c>
      <c r="S257" t="s">
        <v>2706</v>
      </c>
      <c r="T257">
        <v>25</v>
      </c>
      <c r="V257" t="s">
        <v>1644</v>
      </c>
    </row>
    <row r="258" spans="1:22" x14ac:dyDescent="0.25">
      <c r="A258" t="s">
        <v>2105</v>
      </c>
      <c r="B258" t="s">
        <v>2024</v>
      </c>
      <c r="C258" t="s">
        <v>1821</v>
      </c>
      <c r="F258" t="str">
        <f t="shared" si="13"/>
        <v xml:space="preserve">ALFREDO </v>
      </c>
      <c r="I258" t="s">
        <v>1636</v>
      </c>
      <c r="K258" t="str">
        <f t="shared" si="14"/>
        <v>H</v>
      </c>
      <c r="M258" t="s">
        <v>1635</v>
      </c>
      <c r="N258">
        <f t="shared" si="15"/>
        <v>13</v>
      </c>
      <c r="P258" t="s">
        <v>2460</v>
      </c>
      <c r="Q258" t="s">
        <v>1823</v>
      </c>
      <c r="R258" s="30" t="s">
        <v>2461</v>
      </c>
      <c r="S258" t="s">
        <v>2707</v>
      </c>
      <c r="T258" t="s">
        <v>2708</v>
      </c>
      <c r="V258" t="s">
        <v>1651</v>
      </c>
    </row>
    <row r="259" spans="1:22" x14ac:dyDescent="0.25">
      <c r="A259" t="s">
        <v>2106</v>
      </c>
      <c r="B259" t="s">
        <v>1777</v>
      </c>
      <c r="C259" t="s">
        <v>1728</v>
      </c>
      <c r="D259" t="s">
        <v>1740</v>
      </c>
      <c r="F259" t="str">
        <f t="shared" si="13"/>
        <v>JOSE MANUEL</v>
      </c>
      <c r="I259" t="s">
        <v>1641</v>
      </c>
      <c r="K259" t="str">
        <f t="shared" si="14"/>
        <v>H</v>
      </c>
      <c r="M259" t="s">
        <v>1640</v>
      </c>
      <c r="N259">
        <f t="shared" si="15"/>
        <v>13</v>
      </c>
      <c r="P259" t="s">
        <v>2709</v>
      </c>
      <c r="Q259" t="s">
        <v>2710</v>
      </c>
      <c r="V259" t="s">
        <v>1657</v>
      </c>
    </row>
    <row r="260" spans="1:22" x14ac:dyDescent="0.25">
      <c r="A260" t="s">
        <v>1965</v>
      </c>
      <c r="B260" t="s">
        <v>1839</v>
      </c>
      <c r="C260" t="s">
        <v>1702</v>
      </c>
      <c r="D260" t="s">
        <v>1804</v>
      </c>
      <c r="F260" t="str">
        <f t="shared" si="13"/>
        <v>LUIS EDUARDO</v>
      </c>
      <c r="I260" t="s">
        <v>1647</v>
      </c>
      <c r="K260" t="str">
        <f t="shared" si="14"/>
        <v>H</v>
      </c>
      <c r="M260" t="s">
        <v>1646</v>
      </c>
      <c r="N260">
        <f t="shared" si="15"/>
        <v>13</v>
      </c>
      <c r="P260" t="s">
        <v>2711</v>
      </c>
      <c r="Q260" t="s">
        <v>1649</v>
      </c>
      <c r="V260" t="s">
        <v>1663</v>
      </c>
    </row>
    <row r="261" spans="1:22" x14ac:dyDescent="0.25">
      <c r="A261" t="s">
        <v>1705</v>
      </c>
      <c r="B261" t="s">
        <v>1839</v>
      </c>
      <c r="C261" t="s">
        <v>1923</v>
      </c>
      <c r="F261" t="str">
        <f t="shared" ref="F261:F267" si="16">CONCATENATE(C261," ",D261)</f>
        <v xml:space="preserve">ADOLFO </v>
      </c>
      <c r="I261" t="s">
        <v>1654</v>
      </c>
      <c r="K261" t="str">
        <f t="shared" ref="K261:K267" si="17">MID(I261,11,1)</f>
        <v>H</v>
      </c>
      <c r="M261" t="s">
        <v>1653</v>
      </c>
      <c r="N261">
        <f t="shared" ref="N261:N267" si="18">LEN(M261)</f>
        <v>13</v>
      </c>
      <c r="P261" t="s">
        <v>2712</v>
      </c>
      <c r="Q261" t="s">
        <v>2713</v>
      </c>
      <c r="R261" s="30" t="s">
        <v>1967</v>
      </c>
      <c r="S261" t="s">
        <v>2714</v>
      </c>
      <c r="T261" t="s">
        <v>2715</v>
      </c>
      <c r="V261" t="s">
        <v>1669</v>
      </c>
    </row>
    <row r="262" spans="1:22" x14ac:dyDescent="0.25">
      <c r="A262" t="s">
        <v>1709</v>
      </c>
      <c r="B262" t="s">
        <v>1713</v>
      </c>
      <c r="C262" t="s">
        <v>1748</v>
      </c>
      <c r="D262" t="s">
        <v>1797</v>
      </c>
      <c r="F262" t="str">
        <f t="shared" si="16"/>
        <v>CESAR ENRIQUE</v>
      </c>
      <c r="I262" t="s">
        <v>1660</v>
      </c>
      <c r="K262" t="str">
        <f t="shared" si="17"/>
        <v>H</v>
      </c>
      <c r="M262" t="s">
        <v>1659</v>
      </c>
      <c r="N262">
        <f t="shared" si="18"/>
        <v>13</v>
      </c>
      <c r="P262" t="s">
        <v>1819</v>
      </c>
      <c r="Q262">
        <v>51</v>
      </c>
      <c r="V262" t="s">
        <v>1675</v>
      </c>
    </row>
    <row r="263" spans="1:22" x14ac:dyDescent="0.25">
      <c r="A263" t="s">
        <v>1783</v>
      </c>
      <c r="B263" t="s">
        <v>2107</v>
      </c>
      <c r="C263" t="s">
        <v>1784</v>
      </c>
      <c r="D263" t="s">
        <v>1864</v>
      </c>
      <c r="F263" t="str">
        <f t="shared" si="16"/>
        <v>JESUS ABRAHAM</v>
      </c>
      <c r="I263" t="s">
        <v>1666</v>
      </c>
      <c r="K263" t="str">
        <f t="shared" si="17"/>
        <v>H</v>
      </c>
      <c r="M263" t="s">
        <v>1665</v>
      </c>
      <c r="N263">
        <f t="shared" si="18"/>
        <v>13</v>
      </c>
      <c r="P263" t="s">
        <v>2533</v>
      </c>
      <c r="Q263" t="s">
        <v>2716</v>
      </c>
      <c r="R263" s="30" t="s">
        <v>1949</v>
      </c>
      <c r="S263" t="s">
        <v>2717</v>
      </c>
      <c r="T263" t="s">
        <v>2718</v>
      </c>
      <c r="U263">
        <v>2111</v>
      </c>
      <c r="V263" t="s">
        <v>1681</v>
      </c>
    </row>
    <row r="264" spans="1:22" x14ac:dyDescent="0.25">
      <c r="A264" t="s">
        <v>1838</v>
      </c>
      <c r="B264" t="s">
        <v>1862</v>
      </c>
      <c r="C264" t="s">
        <v>1874</v>
      </c>
      <c r="F264" t="str">
        <f t="shared" si="16"/>
        <v xml:space="preserve">EDGAR </v>
      </c>
      <c r="I264" t="s">
        <v>1672</v>
      </c>
      <c r="K264" t="str">
        <f t="shared" si="17"/>
        <v>H</v>
      </c>
      <c r="M264" t="s">
        <v>1671</v>
      </c>
      <c r="N264">
        <f t="shared" si="18"/>
        <v>13</v>
      </c>
      <c r="P264" t="s">
        <v>2719</v>
      </c>
      <c r="Q264" t="s">
        <v>2700</v>
      </c>
      <c r="R264" s="30" t="s">
        <v>2720</v>
      </c>
      <c r="S264" t="s">
        <v>2434</v>
      </c>
      <c r="T264">
        <v>12</v>
      </c>
      <c r="U264" t="s">
        <v>2512</v>
      </c>
      <c r="V264" t="s">
        <v>1687</v>
      </c>
    </row>
    <row r="265" spans="1:22" x14ac:dyDescent="0.25">
      <c r="A265" t="s">
        <v>2108</v>
      </c>
      <c r="B265" t="s">
        <v>1926</v>
      </c>
      <c r="C265" t="s">
        <v>2109</v>
      </c>
      <c r="F265" t="str">
        <f t="shared" si="16"/>
        <v xml:space="preserve">SALOMON </v>
      </c>
      <c r="I265" t="s">
        <v>1678</v>
      </c>
      <c r="K265" t="str">
        <f t="shared" si="17"/>
        <v>H</v>
      </c>
      <c r="M265" t="s">
        <v>1677</v>
      </c>
      <c r="N265">
        <f t="shared" si="18"/>
        <v>13</v>
      </c>
      <c r="P265" t="s">
        <v>1707</v>
      </c>
      <c r="Q265" t="s">
        <v>2721</v>
      </c>
      <c r="R265" s="30" t="s">
        <v>2722</v>
      </c>
      <c r="S265" t="s">
        <v>2723</v>
      </c>
      <c r="V265" t="s">
        <v>1694</v>
      </c>
    </row>
    <row r="266" spans="1:22" x14ac:dyDescent="0.25">
      <c r="A266" t="s">
        <v>1767</v>
      </c>
      <c r="B266" t="s">
        <v>2110</v>
      </c>
      <c r="C266" t="s">
        <v>1791</v>
      </c>
      <c r="F266" t="str">
        <f t="shared" si="16"/>
        <v xml:space="preserve">CARLOS </v>
      </c>
      <c r="I266" t="s">
        <v>1684</v>
      </c>
      <c r="K266" t="str">
        <f t="shared" si="17"/>
        <v>H</v>
      </c>
      <c r="M266" t="s">
        <v>1683</v>
      </c>
      <c r="N266">
        <f t="shared" si="18"/>
        <v>13</v>
      </c>
      <c r="P266" t="s">
        <v>2724</v>
      </c>
      <c r="Q266" t="s">
        <v>223</v>
      </c>
      <c r="R266" s="30" t="s">
        <v>1230</v>
      </c>
    </row>
    <row r="267" spans="1:22" x14ac:dyDescent="0.25">
      <c r="A267" t="s">
        <v>1916</v>
      </c>
      <c r="B267" t="s">
        <v>1917</v>
      </c>
      <c r="C267" t="s">
        <v>1706</v>
      </c>
      <c r="D267" t="s">
        <v>1707</v>
      </c>
      <c r="F267" t="str">
        <f t="shared" si="16"/>
        <v>JUAN FRANCISCO</v>
      </c>
      <c r="I267" t="s">
        <v>1690</v>
      </c>
      <c r="K267" t="str">
        <f t="shared" si="17"/>
        <v>H</v>
      </c>
      <c r="M267" t="s">
        <v>1689</v>
      </c>
      <c r="N267">
        <f t="shared" si="18"/>
        <v>13</v>
      </c>
      <c r="P267" t="s">
        <v>79</v>
      </c>
      <c r="Q267" t="s">
        <v>2725</v>
      </c>
      <c r="R267" s="30" t="s">
        <v>2437</v>
      </c>
      <c r="S267">
        <v>207</v>
      </c>
    </row>
  </sheetData>
  <autoFilter ref="A1:N267"/>
  <dataConsolidate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TABLA</vt:lpstr>
      <vt:lpstr>CI_</vt:lpstr>
      <vt:lpstr>CI_ (2)</vt:lpstr>
      <vt:lpstr>Hoja1</vt:lpstr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de la Rosa</dc:creator>
  <cp:lastModifiedBy>Jesus Arciniega</cp:lastModifiedBy>
  <dcterms:created xsi:type="dcterms:W3CDTF">2018-09-05T16:16:25Z</dcterms:created>
  <dcterms:modified xsi:type="dcterms:W3CDTF">2019-03-21T00:59:47Z</dcterms:modified>
</cp:coreProperties>
</file>