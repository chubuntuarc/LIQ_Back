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6\Scripts_R210_FuerzaVenta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</calcChain>
</file>

<file path=xl/sharedStrings.xml><?xml version="1.0" encoding="utf-8"?>
<sst xmlns="http://schemas.openxmlformats.org/spreadsheetml/2006/main" count="660" uniqueCount="183">
  <si>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</si>
  <si>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</si>
  <si>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</si>
  <si>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</si>
  <si>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</si>
  <si>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</si>
  <si>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</si>
  <si>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</si>
  <si>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</si>
  <si>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</si>
  <si>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</si>
  <si>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</si>
  <si>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</si>
  <si>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</si>
  <si>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</si>
  <si>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</si>
  <si>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</si>
  <si>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</si>
  <si>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</si>
  <si>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</si>
  <si>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</si>
  <si>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</si>
  <si>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</si>
  <si>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</si>
  <si>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</si>
  <si>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</si>
  <si>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</si>
  <si>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</si>
  <si>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</si>
  <si>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</si>
  <si>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</si>
  <si>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</si>
  <si>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</si>
  <si>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</si>
  <si>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</si>
  <si>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</si>
  <si>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</si>
  <si>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</si>
  <si>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</si>
  <si>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</si>
  <si>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</si>
  <si>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</si>
  <si>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</si>
  <si>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</si>
  <si>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</si>
  <si>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</si>
  <si>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</si>
  <si>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</si>
  <si>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</si>
  <si>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</si>
  <si>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</si>
  <si>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</si>
  <si>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</si>
  <si>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</si>
  <si>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</si>
  <si>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</si>
  <si>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</si>
  <si>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</si>
  <si>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</si>
  <si>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</si>
  <si>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</si>
  <si>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</si>
  <si>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</si>
  <si>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</si>
  <si>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</si>
  <si>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</si>
  <si>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</si>
  <si>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</si>
  <si>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</si>
  <si>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</si>
  <si>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</si>
  <si>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</si>
  <si>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</si>
  <si>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</si>
  <si>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</si>
  <si>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</si>
  <si>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</si>
  <si>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</si>
  <si>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</si>
  <si>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</si>
  <si>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</si>
  <si>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</si>
  <si>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</si>
  <si>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</si>
  <si>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</si>
  <si>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</si>
  <si>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</si>
  <si>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</si>
  <si>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</si>
  <si>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</si>
  <si>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</si>
  <si>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</si>
  <si>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</si>
  <si>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</si>
  <si>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</si>
  <si>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</si>
  <si>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</si>
  <si>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</si>
  <si>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</si>
  <si>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</si>
  <si>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</si>
  <si>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</si>
  <si>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</si>
  <si>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</si>
  <si>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</si>
  <si>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</si>
  <si>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</si>
  <si>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</si>
  <si>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</si>
  <si>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</si>
  <si>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MATRICULA</t>
  </si>
  <si>
    <t>BCD345</t>
  </si>
  <si>
    <t>FEFE889</t>
  </si>
  <si>
    <t>MAT123</t>
  </si>
  <si>
    <t>MODELO</t>
  </si>
  <si>
    <t>KILOMETRAJE</t>
  </si>
  <si>
    <t>SERIE</t>
  </si>
  <si>
    <t>CAPACIDAD</t>
  </si>
  <si>
    <t>N/D</t>
  </si>
  <si>
    <t>DV10365</t>
  </si>
  <si>
    <t>ZTV6503</t>
  </si>
  <si>
    <t>DW31616</t>
  </si>
  <si>
    <t>DV10363</t>
  </si>
  <si>
    <t>DV10362</t>
  </si>
  <si>
    <t>DY-2983</t>
  </si>
  <si>
    <t>DV10456</t>
  </si>
  <si>
    <t>DV10419</t>
  </si>
  <si>
    <t>DV10353</t>
  </si>
  <si>
    <t>DV10359</t>
  </si>
  <si>
    <t>2006</t>
  </si>
  <si>
    <t>164292</t>
  </si>
  <si>
    <t>141076</t>
  </si>
  <si>
    <t>0</t>
  </si>
  <si>
    <t>1997</t>
  </si>
  <si>
    <t>1578795</t>
  </si>
  <si>
    <t>1990</t>
  </si>
  <si>
    <t>61784</t>
  </si>
  <si>
    <t>2005</t>
  </si>
  <si>
    <t>1995</t>
  </si>
  <si>
    <t>2099804</t>
  </si>
  <si>
    <t>1992</t>
  </si>
  <si>
    <t>1881350</t>
  </si>
  <si>
    <t>2002</t>
  </si>
  <si>
    <t>2443861</t>
  </si>
  <si>
    <t>1276028</t>
  </si>
  <si>
    <t>2010</t>
  </si>
  <si>
    <t>29056</t>
  </si>
  <si>
    <t>17711</t>
  </si>
  <si>
    <t>2007</t>
  </si>
  <si>
    <t>22098</t>
  </si>
  <si>
    <t>1.3</t>
  </si>
  <si>
    <t>228.6</t>
  </si>
  <si>
    <t>8911979</t>
  </si>
  <si>
    <t>2008</t>
  </si>
  <si>
    <t>56309</t>
  </si>
  <si>
    <t>3GBKC34G55M118806</t>
  </si>
  <si>
    <t>1GDJ7H1E4J901664</t>
  </si>
  <si>
    <t>3GBKC34GX5M101984</t>
  </si>
  <si>
    <t>3GBKC34G55M118837</t>
  </si>
  <si>
    <t>3GBKC34GX5M118915</t>
  </si>
  <si>
    <t>1GDG6H1P9RJ519414</t>
  </si>
  <si>
    <t>1GBM7H1P2PJ101461</t>
  </si>
  <si>
    <t>3GBJ6H1E45M105516</t>
  </si>
  <si>
    <t>1G017H1P45J520018</t>
  </si>
  <si>
    <t>1GDG6H1T7PJ504326</t>
  </si>
  <si>
    <t>3GBM7H1E62M104342</t>
  </si>
  <si>
    <t>1GDG6H1P6TJ504599</t>
  </si>
  <si>
    <t>013FB0473C4F544B</t>
  </si>
  <si>
    <t>0136B07390508612</t>
  </si>
  <si>
    <t>013AB067801076420</t>
  </si>
  <si>
    <t>3N6DD14547K040525</t>
  </si>
  <si>
    <t>3N6DD14568K002327</t>
  </si>
  <si>
    <t>3NGDD14528K021599</t>
  </si>
  <si>
    <t>5000</t>
  </si>
  <si>
    <t>12500</t>
  </si>
  <si>
    <t>8250</t>
  </si>
  <si>
    <t>8670</t>
  </si>
  <si>
    <t>6850</t>
  </si>
  <si>
    <t>4750</t>
  </si>
  <si>
    <t>3500</t>
  </si>
  <si>
    <t>1866</t>
  </si>
  <si>
    <t>K_DETALLE_PORTATIL</t>
  </si>
  <si>
    <t>K_MARCA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</si>
</sst>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5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:J35"/>
    </sheetView>
  </sheetViews>
  <sheetFormatPr baseColWidth="10" defaultRowHeight="15" x14ac:dyDescent="0.25"/>
  <cols>
    <col min="1" max="1" width="5.140625" customWidth="1"/>
    <col min="2" max="2" width="13.140625" style="3" bestFit="1" customWidth="1"/>
    <col min="3" max="3" width="15" bestFit="1" customWidth="1"/>
    <col min="4" max="4" width="20.85546875" style="12" bestFit="1" customWidth="1"/>
    <col min="5" max="5" width="10.42578125" bestFit="1" customWidth="1"/>
    <col min="6" max="6" width="8" style="13" bestFit="1" customWidth="1"/>
    <col min="7" max="7" width="12" style="13" bestFit="1" customWidth="1"/>
    <col min="8" max="8" width="19.85546875" style="1" bestFit="1" customWidth="1"/>
    <col min="9" max="9" width="10.28515625" style="1" bestFit="1" customWidth="1"/>
    <col min="10" max="10" width="122.140625" bestFit="1" customWidth="1"/>
    <col min="12" max="12" width="28.5703125" bestFit="1" customWidth="1"/>
    <col min="13" max="13" width="12" bestFit="1" customWidth="1"/>
    <col min="14" max="14" width="31.85546875" customWidth="1"/>
    <col min="15" max="15" width="13.85546875" bestFit="1" customWidth="1"/>
  </cols>
  <sheetData>
    <row r="2" spans="2:17" s="4" customFormat="1" x14ac:dyDescent="0.25">
      <c r="B2" s="3" t="s">
        <v>181</v>
      </c>
      <c r="C2" s="4" t="s">
        <v>0</v>
      </c>
      <c r="D2" s="10" t="s">
        <v>182</v>
      </c>
      <c r="E2" s="4" t="s">
        <v>110</v>
      </c>
      <c r="F2" s="11" t="s">
        <v>114</v>
      </c>
      <c r="G2" s="11" t="s">
        <v>115</v>
      </c>
      <c r="H2" s="5" t="s">
        <v>116</v>
      </c>
      <c r="I2" s="5" t="s">
        <v>117</v>
      </c>
      <c r="Q2" s="2"/>
    </row>
    <row r="3" spans="2:17" x14ac:dyDescent="0.25">
      <c r="B3" s="3">
        <v>1</v>
      </c>
      <c r="C3">
        <v>2</v>
      </c>
      <c r="D3" s="12">
        <v>101</v>
      </c>
      <c r="E3" t="s">
        <v>111</v>
      </c>
      <c r="F3" s="12">
        <v>2006</v>
      </c>
      <c r="G3" s="12">
        <v>233859</v>
      </c>
      <c r="H3" s="8" t="s">
        <v>155</v>
      </c>
      <c r="I3" s="14">
        <v>5000</v>
      </c>
      <c r="J3" s="2" t="str">
        <f>CONCATENATE("EXECUTE [dbo].[PG_CI_FICHA_PORTATIL] 0,0, ",B3,", ",C3,",",D3,",'",E3,"','",F3,"',",G3,",'",H3,"',",I3,"; ")</f>
        <v xml:space="preserve">EXECUTE [dbo].[PG_CI_FICHA_PORTATIL] 0,0, 1, 2,101,'BCD345','2006',233859,'3GBKC34G55M118806',5000; </v>
      </c>
      <c r="N3" s="6"/>
    </row>
    <row r="4" spans="2:17" x14ac:dyDescent="0.25">
      <c r="B4" s="3">
        <v>2</v>
      </c>
      <c r="C4">
        <v>4</v>
      </c>
      <c r="D4" s="12">
        <v>102</v>
      </c>
      <c r="E4" t="s">
        <v>112</v>
      </c>
      <c r="F4" s="12">
        <v>2002</v>
      </c>
      <c r="G4" s="12">
        <v>1522039</v>
      </c>
      <c r="H4" s="8" t="s">
        <v>156</v>
      </c>
      <c r="I4" s="14">
        <v>11315</v>
      </c>
      <c r="J4" s="2" t="str">
        <f t="shared" ref="J4:J35" si="0">CONCATENATE("EXECUTE [dbo].[PG_CI_FICHA_PORTATIL] 0,0, ",B4,", ",C4,",",D4,",'",E4,"','",F4,"',",G4,",'",H4,"',",I4,"; ")</f>
        <v xml:space="preserve">EXECUTE [dbo].[PG_CI_FICHA_PORTATIL] 0,0, 2, 4,102,'FEFE889','2002',1522039,'1GDJ7H1E4J901664',11315; </v>
      </c>
      <c r="N4" s="7"/>
    </row>
    <row r="5" spans="2:17" x14ac:dyDescent="0.25">
      <c r="B5" s="3">
        <v>3</v>
      </c>
      <c r="C5">
        <v>5</v>
      </c>
      <c r="D5" s="12">
        <v>103</v>
      </c>
      <c r="E5" t="s">
        <v>113</v>
      </c>
      <c r="F5" s="12">
        <v>2005</v>
      </c>
      <c r="G5" s="12">
        <v>0</v>
      </c>
      <c r="H5" s="8" t="s">
        <v>157</v>
      </c>
      <c r="I5" s="14">
        <v>5000</v>
      </c>
      <c r="J5" s="2" t="str">
        <f t="shared" si="0"/>
        <v xml:space="preserve">EXECUTE [dbo].[PG_CI_FICHA_PORTATIL] 0,0, 3, 5,103,'MAT123','2005',0,'3GBKC34GX5M101984',5000; </v>
      </c>
    </row>
    <row r="6" spans="2:17" x14ac:dyDescent="0.25">
      <c r="B6" s="3">
        <v>4</v>
      </c>
      <c r="C6">
        <v>6</v>
      </c>
      <c r="D6" s="12">
        <v>104</v>
      </c>
      <c r="E6" t="s">
        <v>118</v>
      </c>
      <c r="F6" s="12" t="s">
        <v>129</v>
      </c>
      <c r="G6" s="12" t="s">
        <v>130</v>
      </c>
      <c r="H6" s="8" t="s">
        <v>158</v>
      </c>
      <c r="I6" s="14">
        <v>4300</v>
      </c>
      <c r="J6" s="2" t="str">
        <f t="shared" si="0"/>
        <v xml:space="preserve">EXECUTE [dbo].[PG_CI_FICHA_PORTATIL] 0,0, 4, 6,104,'N/D','2006',164292,'3GBKC34G55M118837',4300; </v>
      </c>
    </row>
    <row r="7" spans="2:17" x14ac:dyDescent="0.25">
      <c r="B7" s="3">
        <v>5</v>
      </c>
      <c r="C7">
        <v>7</v>
      </c>
      <c r="D7" s="12">
        <v>105</v>
      </c>
      <c r="E7" t="s">
        <v>119</v>
      </c>
      <c r="F7" s="12" t="s">
        <v>129</v>
      </c>
      <c r="G7" s="12" t="s">
        <v>131</v>
      </c>
      <c r="H7" s="1" t="s">
        <v>159</v>
      </c>
      <c r="I7" s="13" t="s">
        <v>173</v>
      </c>
      <c r="J7" s="2" t="str">
        <f t="shared" si="0"/>
        <v xml:space="preserve">EXECUTE [dbo].[PG_CI_FICHA_PORTATIL] 0,0, 5, 7,105,'DV10365','2006',141076,'3GBKC34GX5M118915',5000; </v>
      </c>
    </row>
    <row r="8" spans="2:17" x14ac:dyDescent="0.25">
      <c r="B8" s="3">
        <v>6</v>
      </c>
      <c r="C8">
        <v>9</v>
      </c>
      <c r="D8" s="12">
        <v>106</v>
      </c>
      <c r="E8" s="15" t="s">
        <v>120</v>
      </c>
      <c r="F8" s="12" t="s">
        <v>133</v>
      </c>
      <c r="G8" s="12" t="s">
        <v>134</v>
      </c>
      <c r="H8" s="1" t="s">
        <v>160</v>
      </c>
      <c r="I8" s="13" t="s">
        <v>174</v>
      </c>
      <c r="J8" s="2" t="str">
        <f t="shared" si="0"/>
        <v xml:space="preserve">EXECUTE [dbo].[PG_CI_FICHA_PORTATIL] 0,0, 6, 9,106,'ZTV6503','1997',1578795,'1GDG6H1P9RJ519414',12500; </v>
      </c>
    </row>
    <row r="9" spans="2:17" x14ac:dyDescent="0.25">
      <c r="B9" s="3">
        <v>7</v>
      </c>
      <c r="C9">
        <v>10</v>
      </c>
      <c r="D9" s="12">
        <v>101</v>
      </c>
      <c r="E9" t="s">
        <v>121</v>
      </c>
      <c r="F9" s="12" t="s">
        <v>118</v>
      </c>
      <c r="G9" s="12" t="s">
        <v>132</v>
      </c>
      <c r="H9" s="1" t="s">
        <v>118</v>
      </c>
      <c r="I9" s="13" t="s">
        <v>174</v>
      </c>
      <c r="J9" s="2" t="str">
        <f t="shared" si="0"/>
        <v xml:space="preserve">EXECUTE [dbo].[PG_CI_FICHA_PORTATIL] 0,0, 7, 10,101,'DW31616','N/D',0,'N/D',12500; </v>
      </c>
      <c r="N9" s="15"/>
    </row>
    <row r="10" spans="2:17" x14ac:dyDescent="0.25">
      <c r="B10" s="3">
        <v>8</v>
      </c>
      <c r="C10">
        <v>12</v>
      </c>
      <c r="D10" s="12">
        <v>102</v>
      </c>
      <c r="E10" t="s">
        <v>122</v>
      </c>
      <c r="F10" s="12" t="s">
        <v>135</v>
      </c>
      <c r="G10" s="12" t="s">
        <v>136</v>
      </c>
      <c r="H10" s="1" t="s">
        <v>161</v>
      </c>
      <c r="I10" s="13" t="s">
        <v>174</v>
      </c>
      <c r="J10" s="2" t="str">
        <f t="shared" si="0"/>
        <v xml:space="preserve">EXECUTE [dbo].[PG_CI_FICHA_PORTATIL] 0,0, 8, 12,102,'DV10363','1990',61784,'1GBM7H1P2PJ101461',12500; </v>
      </c>
    </row>
    <row r="11" spans="2:17" x14ac:dyDescent="0.25">
      <c r="B11" s="3">
        <v>9</v>
      </c>
      <c r="C11">
        <v>14</v>
      </c>
      <c r="D11" s="12">
        <v>103</v>
      </c>
      <c r="E11" t="s">
        <v>118</v>
      </c>
      <c r="F11" s="12" t="s">
        <v>137</v>
      </c>
      <c r="G11" s="12" t="s">
        <v>132</v>
      </c>
      <c r="H11" s="1" t="s">
        <v>162</v>
      </c>
      <c r="I11" s="13" t="s">
        <v>175</v>
      </c>
      <c r="J11" s="2" t="str">
        <f t="shared" si="0"/>
        <v xml:space="preserve">EXECUTE [dbo].[PG_CI_FICHA_PORTATIL] 0,0, 9, 14,103,'N/D','2005',0,'3GBJ6H1E45M105516',8250; </v>
      </c>
    </row>
    <row r="12" spans="2:17" x14ac:dyDescent="0.25">
      <c r="B12" s="3">
        <v>10</v>
      </c>
      <c r="C12">
        <v>15</v>
      </c>
      <c r="D12" s="12">
        <v>104</v>
      </c>
      <c r="E12" t="s">
        <v>118</v>
      </c>
      <c r="F12" s="12" t="s">
        <v>138</v>
      </c>
      <c r="G12" s="12" t="s">
        <v>139</v>
      </c>
      <c r="H12" s="1" t="s">
        <v>163</v>
      </c>
      <c r="I12" s="13" t="s">
        <v>174</v>
      </c>
      <c r="J12" s="2" t="str">
        <f t="shared" si="0"/>
        <v xml:space="preserve">EXECUTE [dbo].[PG_CI_FICHA_PORTATIL] 0,0, 10, 15,104,'N/D','1995',2099804,'1G017H1P45J520018',12500; </v>
      </c>
    </row>
    <row r="13" spans="2:17" x14ac:dyDescent="0.25">
      <c r="B13" s="3">
        <v>11</v>
      </c>
      <c r="C13">
        <v>16</v>
      </c>
      <c r="D13" s="12">
        <v>105</v>
      </c>
      <c r="E13" t="s">
        <v>123</v>
      </c>
      <c r="F13" s="12" t="s">
        <v>140</v>
      </c>
      <c r="G13" s="12" t="s">
        <v>141</v>
      </c>
      <c r="H13" s="1" t="s">
        <v>164</v>
      </c>
      <c r="I13" s="13" t="s">
        <v>176</v>
      </c>
      <c r="J13" s="2" t="str">
        <f t="shared" si="0"/>
        <v xml:space="preserve">EXECUTE [dbo].[PG_CI_FICHA_PORTATIL] 0,0, 11, 16,105,'DV10362','1992',1881350,'1GDG6H1T7PJ504326',8670; </v>
      </c>
    </row>
    <row r="14" spans="2:17" x14ac:dyDescent="0.25">
      <c r="B14" s="3">
        <v>12</v>
      </c>
      <c r="C14">
        <v>17</v>
      </c>
      <c r="D14" s="12">
        <v>106</v>
      </c>
      <c r="E14" t="s">
        <v>118</v>
      </c>
      <c r="F14" s="12" t="s">
        <v>142</v>
      </c>
      <c r="G14" s="12" t="s">
        <v>143</v>
      </c>
      <c r="H14" s="1" t="s">
        <v>165</v>
      </c>
      <c r="I14" s="13" t="s">
        <v>174</v>
      </c>
      <c r="J14" s="2" t="str">
        <f t="shared" si="0"/>
        <v xml:space="preserve">EXECUTE [dbo].[PG_CI_FICHA_PORTATIL] 0,0, 12, 17,106,'N/D','2002',2443861,'3GBM7H1E62M104342',12500; </v>
      </c>
    </row>
    <row r="15" spans="2:17" x14ac:dyDescent="0.25">
      <c r="B15" s="3">
        <v>13</v>
      </c>
      <c r="C15">
        <v>19</v>
      </c>
      <c r="D15" s="12">
        <v>101</v>
      </c>
      <c r="E15" t="s">
        <v>124</v>
      </c>
      <c r="F15" s="12" t="s">
        <v>118</v>
      </c>
      <c r="G15" s="12" t="s">
        <v>132</v>
      </c>
      <c r="H15" s="1" t="s">
        <v>118</v>
      </c>
      <c r="I15" s="13" t="s">
        <v>174</v>
      </c>
      <c r="J15" s="2" t="str">
        <f t="shared" si="0"/>
        <v xml:space="preserve">EXECUTE [dbo].[PG_CI_FICHA_PORTATIL] 0,0, 13, 19,101,'DY-2983','N/D',0,'N/D',12500; </v>
      </c>
    </row>
    <row r="16" spans="2:17" x14ac:dyDescent="0.25">
      <c r="B16" s="3">
        <v>14</v>
      </c>
      <c r="C16">
        <v>20</v>
      </c>
      <c r="D16" s="12">
        <v>102</v>
      </c>
      <c r="E16" t="s">
        <v>118</v>
      </c>
      <c r="F16" s="12" t="s">
        <v>118</v>
      </c>
      <c r="G16" s="12" t="s">
        <v>132</v>
      </c>
      <c r="H16" s="1" t="s">
        <v>118</v>
      </c>
      <c r="I16" s="13" t="s">
        <v>174</v>
      </c>
      <c r="J16" s="2" t="str">
        <f t="shared" si="0"/>
        <v xml:space="preserve">EXECUTE [dbo].[PG_CI_FICHA_PORTATIL] 0,0, 14, 20,102,'N/D','N/D',0,'N/D',12500; </v>
      </c>
    </row>
    <row r="17" spans="2:10" x14ac:dyDescent="0.25">
      <c r="B17" s="3">
        <v>15</v>
      </c>
      <c r="C17">
        <v>22</v>
      </c>
      <c r="D17" s="12">
        <v>103</v>
      </c>
      <c r="E17" t="s">
        <v>125</v>
      </c>
      <c r="F17" s="12" t="s">
        <v>138</v>
      </c>
      <c r="G17" s="12" t="s">
        <v>144</v>
      </c>
      <c r="H17" s="1" t="s">
        <v>166</v>
      </c>
      <c r="I17" s="13" t="s">
        <v>174</v>
      </c>
      <c r="J17" s="2" t="str">
        <f t="shared" si="0"/>
        <v xml:space="preserve">EXECUTE [dbo].[PG_CI_FICHA_PORTATIL] 0,0, 15, 22,103,'DV10456','1995',1276028,'1GDG6H1P6TJ504599',12500; </v>
      </c>
    </row>
    <row r="18" spans="2:10" x14ac:dyDescent="0.25">
      <c r="B18" s="3">
        <v>16</v>
      </c>
      <c r="C18">
        <v>24</v>
      </c>
      <c r="D18" s="12">
        <v>104</v>
      </c>
      <c r="E18" t="s">
        <v>118</v>
      </c>
      <c r="F18" s="12" t="s">
        <v>118</v>
      </c>
      <c r="G18" s="12" t="s">
        <v>132</v>
      </c>
      <c r="H18" s="1" t="s">
        <v>118</v>
      </c>
      <c r="I18" s="13" t="s">
        <v>177</v>
      </c>
      <c r="J18" s="2" t="str">
        <f t="shared" si="0"/>
        <v xml:space="preserve">EXECUTE [dbo].[PG_CI_FICHA_PORTATIL] 0,0, 16, 24,104,'N/D','N/D',0,'N/D',6850; </v>
      </c>
    </row>
    <row r="19" spans="2:10" x14ac:dyDescent="0.25">
      <c r="B19" s="3">
        <v>17</v>
      </c>
      <c r="C19">
        <v>25</v>
      </c>
      <c r="D19" s="12">
        <v>105</v>
      </c>
      <c r="E19" t="s">
        <v>118</v>
      </c>
      <c r="F19" s="12" t="s">
        <v>145</v>
      </c>
      <c r="G19" s="12" t="s">
        <v>146</v>
      </c>
      <c r="H19" s="1" t="s">
        <v>167</v>
      </c>
      <c r="I19" s="13" t="s">
        <v>132</v>
      </c>
      <c r="J19" s="2" t="str">
        <f t="shared" si="0"/>
        <v xml:space="preserve">EXECUTE [dbo].[PG_CI_FICHA_PORTATIL] 0,0, 17, 25,105,'N/D','2010',29056,'013FB0473C4F544B',0; </v>
      </c>
    </row>
    <row r="20" spans="2:10" x14ac:dyDescent="0.25">
      <c r="B20" s="3">
        <v>18</v>
      </c>
      <c r="C20">
        <v>26</v>
      </c>
      <c r="D20" s="12">
        <v>106</v>
      </c>
      <c r="E20" t="s">
        <v>118</v>
      </c>
      <c r="F20" s="12" t="s">
        <v>145</v>
      </c>
      <c r="G20" s="12" t="s">
        <v>147</v>
      </c>
      <c r="H20" s="1" t="s">
        <v>168</v>
      </c>
      <c r="I20" s="13" t="s">
        <v>132</v>
      </c>
      <c r="J20" s="2" t="str">
        <f t="shared" si="0"/>
        <v xml:space="preserve">EXECUTE [dbo].[PG_CI_FICHA_PORTATIL] 0,0, 18, 26,106,'N/D','2010',17711,'0136B07390508612',0; </v>
      </c>
    </row>
    <row r="21" spans="2:10" x14ac:dyDescent="0.25">
      <c r="B21" s="3">
        <v>19</v>
      </c>
      <c r="C21">
        <v>27</v>
      </c>
      <c r="D21" s="12">
        <v>101</v>
      </c>
      <c r="E21" t="s">
        <v>126</v>
      </c>
      <c r="F21" s="12" t="s">
        <v>118</v>
      </c>
      <c r="G21" s="12" t="s">
        <v>132</v>
      </c>
      <c r="H21" s="1" t="s">
        <v>118</v>
      </c>
      <c r="I21" s="13" t="s">
        <v>132</v>
      </c>
      <c r="J21" s="2" t="str">
        <f t="shared" si="0"/>
        <v xml:space="preserve">EXECUTE [dbo].[PG_CI_FICHA_PORTATIL] 0,0, 19, 27,101,'DV10419','N/D',0,'N/D',0; </v>
      </c>
    </row>
    <row r="22" spans="2:10" x14ac:dyDescent="0.25">
      <c r="B22" s="3">
        <v>20</v>
      </c>
      <c r="C22">
        <v>29</v>
      </c>
      <c r="D22" s="12">
        <v>102</v>
      </c>
      <c r="E22" t="s">
        <v>118</v>
      </c>
      <c r="F22" s="12" t="s">
        <v>145</v>
      </c>
      <c r="G22" s="12" t="s">
        <v>132</v>
      </c>
      <c r="H22" s="1" t="s">
        <v>168</v>
      </c>
      <c r="I22" s="13" t="s">
        <v>132</v>
      </c>
      <c r="J22" s="2" t="str">
        <f t="shared" si="0"/>
        <v xml:space="preserve">EXECUTE [dbo].[PG_CI_FICHA_PORTATIL] 0,0, 20, 29,102,'N/D','2010',0,'0136B07390508612',0; </v>
      </c>
    </row>
    <row r="23" spans="2:10" x14ac:dyDescent="0.25">
      <c r="B23" s="3">
        <v>21</v>
      </c>
      <c r="C23">
        <v>30</v>
      </c>
      <c r="D23" s="12">
        <v>103</v>
      </c>
      <c r="E23" t="s">
        <v>118</v>
      </c>
      <c r="F23" s="12" t="s">
        <v>145</v>
      </c>
      <c r="G23" s="12" t="s">
        <v>149</v>
      </c>
      <c r="H23" s="1" t="s">
        <v>169</v>
      </c>
      <c r="I23" s="13" t="s">
        <v>132</v>
      </c>
      <c r="J23" s="2" t="str">
        <f t="shared" si="0"/>
        <v xml:space="preserve">EXECUTE [dbo].[PG_CI_FICHA_PORTATIL] 0,0, 21, 30,103,'N/D','2010',22098,'013AB067801076420',0; </v>
      </c>
    </row>
    <row r="24" spans="2:10" x14ac:dyDescent="0.25">
      <c r="B24" s="3">
        <v>22</v>
      </c>
      <c r="C24">
        <v>32</v>
      </c>
      <c r="D24" s="12">
        <v>104</v>
      </c>
      <c r="E24" t="s">
        <v>118</v>
      </c>
      <c r="F24" s="12" t="s">
        <v>118</v>
      </c>
      <c r="G24" s="12" t="s">
        <v>132</v>
      </c>
      <c r="H24" s="1" t="s">
        <v>118</v>
      </c>
      <c r="I24" s="13" t="s">
        <v>132</v>
      </c>
      <c r="J24" s="2" t="str">
        <f t="shared" si="0"/>
        <v xml:space="preserve">EXECUTE [dbo].[PG_CI_FICHA_PORTATIL] 0,0, 22, 32,104,'N/D','N/D',0,'N/D',0; </v>
      </c>
    </row>
    <row r="25" spans="2:10" x14ac:dyDescent="0.25">
      <c r="B25" s="3">
        <v>23</v>
      </c>
      <c r="C25">
        <v>34</v>
      </c>
      <c r="D25" s="12">
        <v>105</v>
      </c>
      <c r="E25" t="s">
        <v>118</v>
      </c>
      <c r="F25" s="12" t="s">
        <v>118</v>
      </c>
      <c r="G25" s="12" t="s">
        <v>132</v>
      </c>
      <c r="H25" s="1" t="s">
        <v>118</v>
      </c>
      <c r="I25" s="13" t="s">
        <v>132</v>
      </c>
      <c r="J25" s="2" t="str">
        <f t="shared" si="0"/>
        <v xml:space="preserve">EXECUTE [dbo].[PG_CI_FICHA_PORTATIL] 0,0, 23, 34,105,'N/D','N/D',0,'N/D',0; </v>
      </c>
    </row>
    <row r="26" spans="2:10" x14ac:dyDescent="0.25">
      <c r="B26" s="3">
        <v>24</v>
      </c>
      <c r="C26">
        <v>35</v>
      </c>
      <c r="D26" s="12">
        <v>106</v>
      </c>
      <c r="E26" t="s">
        <v>118</v>
      </c>
      <c r="F26" s="12" t="s">
        <v>148</v>
      </c>
      <c r="G26" s="12" t="s">
        <v>150</v>
      </c>
      <c r="H26" s="1" t="s">
        <v>170</v>
      </c>
      <c r="I26" s="13" t="s">
        <v>132</v>
      </c>
      <c r="J26" s="2" t="str">
        <f t="shared" si="0"/>
        <v xml:space="preserve">EXECUTE [dbo].[PG_CI_FICHA_PORTATIL] 0,0, 24, 35,106,'N/D','2007',1.3,'3N6DD14547K040525',0; </v>
      </c>
    </row>
    <row r="27" spans="2:10" x14ac:dyDescent="0.25">
      <c r="B27" s="3">
        <v>25</v>
      </c>
      <c r="C27">
        <v>36</v>
      </c>
      <c r="D27" s="12">
        <v>101</v>
      </c>
      <c r="E27" t="s">
        <v>118</v>
      </c>
      <c r="F27" s="12" t="s">
        <v>118</v>
      </c>
      <c r="G27" s="12" t="s">
        <v>132</v>
      </c>
      <c r="H27" s="1" t="s">
        <v>118</v>
      </c>
      <c r="I27" s="13" t="s">
        <v>132</v>
      </c>
      <c r="J27" s="2" t="str">
        <f t="shared" si="0"/>
        <v xml:space="preserve">EXECUTE [dbo].[PG_CI_FICHA_PORTATIL] 0,0, 25, 36,101,'N/D','N/D',0,'N/D',0; </v>
      </c>
    </row>
    <row r="28" spans="2:10" x14ac:dyDescent="0.25">
      <c r="B28" s="3">
        <v>26</v>
      </c>
      <c r="C28">
        <v>37</v>
      </c>
      <c r="D28" s="12">
        <v>102</v>
      </c>
      <c r="E28" t="s">
        <v>118</v>
      </c>
      <c r="F28" s="12" t="s">
        <v>148</v>
      </c>
      <c r="G28" s="12" t="s">
        <v>151</v>
      </c>
      <c r="H28" s="1" t="s">
        <v>171</v>
      </c>
      <c r="I28" s="13" t="s">
        <v>132</v>
      </c>
      <c r="J28" s="2" t="str">
        <f t="shared" si="0"/>
        <v xml:space="preserve">EXECUTE [dbo].[PG_CI_FICHA_PORTATIL] 0,0, 26, 37,102,'N/D','2007',228.6,'3N6DD14568K002327',0; </v>
      </c>
    </row>
    <row r="29" spans="2:10" x14ac:dyDescent="0.25">
      <c r="B29" s="3">
        <v>27</v>
      </c>
      <c r="C29">
        <v>39</v>
      </c>
      <c r="D29" s="12">
        <v>103</v>
      </c>
      <c r="E29" t="s">
        <v>118</v>
      </c>
      <c r="F29" s="12" t="s">
        <v>118</v>
      </c>
      <c r="G29" s="12" t="s">
        <v>132</v>
      </c>
      <c r="H29" s="1" t="s">
        <v>118</v>
      </c>
      <c r="I29" s="13" t="s">
        <v>132</v>
      </c>
      <c r="J29" s="2" t="str">
        <f t="shared" si="0"/>
        <v xml:space="preserve">EXECUTE [dbo].[PG_CI_FICHA_PORTATIL] 0,0, 27, 39,103,'N/D','N/D',0,'N/D',0; </v>
      </c>
    </row>
    <row r="30" spans="2:10" x14ac:dyDescent="0.25">
      <c r="B30" s="3">
        <v>28</v>
      </c>
      <c r="C30">
        <v>40</v>
      </c>
      <c r="D30" s="12">
        <v>104</v>
      </c>
      <c r="E30" t="s">
        <v>127</v>
      </c>
      <c r="F30" s="12" t="s">
        <v>118</v>
      </c>
      <c r="G30" s="12" t="s">
        <v>132</v>
      </c>
      <c r="H30" s="1" t="s">
        <v>118</v>
      </c>
      <c r="I30" s="13" t="s">
        <v>132</v>
      </c>
      <c r="J30" s="2" t="str">
        <f t="shared" si="0"/>
        <v xml:space="preserve">EXECUTE [dbo].[PG_CI_FICHA_PORTATIL] 0,0, 28, 40,104,'DV10353','N/D',0,'N/D',0; </v>
      </c>
    </row>
    <row r="31" spans="2:10" x14ac:dyDescent="0.25">
      <c r="B31" s="3">
        <v>29</v>
      </c>
      <c r="C31">
        <v>42</v>
      </c>
      <c r="D31" s="12">
        <v>105</v>
      </c>
      <c r="E31" t="s">
        <v>128</v>
      </c>
      <c r="F31" s="12" t="s">
        <v>118</v>
      </c>
      <c r="G31" s="12" t="s">
        <v>132</v>
      </c>
      <c r="H31" s="1" t="s">
        <v>118</v>
      </c>
      <c r="I31" s="13" t="s">
        <v>132</v>
      </c>
      <c r="J31" s="2" t="str">
        <f t="shared" si="0"/>
        <v xml:space="preserve">EXECUTE [dbo].[PG_CI_FICHA_PORTATIL] 0,0, 29, 42,105,'DV10359','N/D',0,'N/D',0; </v>
      </c>
    </row>
    <row r="32" spans="2:10" x14ac:dyDescent="0.25">
      <c r="B32" s="3">
        <v>30</v>
      </c>
      <c r="C32">
        <v>44</v>
      </c>
      <c r="D32" s="12">
        <v>106</v>
      </c>
      <c r="E32" t="s">
        <v>118</v>
      </c>
      <c r="F32" s="12" t="s">
        <v>118</v>
      </c>
      <c r="G32" s="12" t="s">
        <v>152</v>
      </c>
      <c r="H32" s="1" t="s">
        <v>118</v>
      </c>
      <c r="I32" s="13" t="s">
        <v>132</v>
      </c>
      <c r="J32" s="2" t="str">
        <f t="shared" si="0"/>
        <v xml:space="preserve">EXECUTE [dbo].[PG_CI_FICHA_PORTATIL] 0,0, 30, 44,106,'N/D','N/D',8911979,'N/D',0; </v>
      </c>
    </row>
    <row r="33" spans="2:10" x14ac:dyDescent="0.25">
      <c r="B33" s="3">
        <v>31</v>
      </c>
      <c r="C33">
        <v>45</v>
      </c>
      <c r="D33" s="12">
        <v>101</v>
      </c>
      <c r="E33" t="s">
        <v>118</v>
      </c>
      <c r="F33" s="12" t="s">
        <v>118</v>
      </c>
      <c r="G33" s="12">
        <v>0</v>
      </c>
      <c r="H33" s="1" t="s">
        <v>118</v>
      </c>
      <c r="I33" s="13" t="s">
        <v>178</v>
      </c>
      <c r="J33" s="2" t="str">
        <f t="shared" si="0"/>
        <v xml:space="preserve">EXECUTE [dbo].[PG_CI_FICHA_PORTATIL] 0,0, 31, 45,101,'N/D','N/D',0,'N/D',4750; </v>
      </c>
    </row>
    <row r="34" spans="2:10" x14ac:dyDescent="0.25">
      <c r="B34" s="3">
        <v>32</v>
      </c>
      <c r="C34">
        <v>46</v>
      </c>
      <c r="D34" s="12">
        <v>102</v>
      </c>
      <c r="E34" t="s">
        <v>118</v>
      </c>
      <c r="F34" s="12" t="s">
        <v>118</v>
      </c>
      <c r="G34" s="12">
        <v>0</v>
      </c>
      <c r="H34" s="1" t="s">
        <v>118</v>
      </c>
      <c r="I34" s="13" t="s">
        <v>179</v>
      </c>
      <c r="J34" s="2" t="str">
        <f t="shared" si="0"/>
        <v xml:space="preserve">EXECUTE [dbo].[PG_CI_FICHA_PORTATIL] 0,0, 32, 46,102,'N/D','N/D',0,'N/D',3500; </v>
      </c>
    </row>
    <row r="35" spans="2:10" x14ac:dyDescent="0.25">
      <c r="B35" s="3">
        <v>33</v>
      </c>
      <c r="C35">
        <v>47</v>
      </c>
      <c r="D35" s="12">
        <v>103</v>
      </c>
      <c r="E35" t="s">
        <v>118</v>
      </c>
      <c r="F35" s="12" t="s">
        <v>153</v>
      </c>
      <c r="G35" s="12" t="s">
        <v>154</v>
      </c>
      <c r="H35" s="1" t="s">
        <v>172</v>
      </c>
      <c r="I35" s="13" t="s">
        <v>180</v>
      </c>
      <c r="J35" s="2" t="str">
        <f t="shared" si="0"/>
        <v xml:space="preserve">EXECUTE [dbo].[PG_CI_FICHA_PORTATIL] 0,0, 33, 47,103,'N/D','2008',56309,'3NGDD14528K021599',1866;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10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10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10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10</v>
      </c>
    </row>
    <row r="5" spans="1:16" x14ac:dyDescent="0.2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10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10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10</v>
      </c>
    </row>
    <row r="8" spans="1:16" x14ac:dyDescent="0.2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10</v>
      </c>
    </row>
    <row r="9" spans="1:16" x14ac:dyDescent="0.2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10</v>
      </c>
    </row>
    <row r="10" spans="1:16" x14ac:dyDescent="0.2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10</v>
      </c>
    </row>
    <row r="11" spans="1:16" x14ac:dyDescent="0.2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10</v>
      </c>
    </row>
    <row r="12" spans="1:16" x14ac:dyDescent="0.2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10</v>
      </c>
    </row>
    <row r="13" spans="1:16" x14ac:dyDescent="0.2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10</v>
      </c>
    </row>
    <row r="14" spans="1:16" x14ac:dyDescent="0.2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10</v>
      </c>
    </row>
    <row r="15" spans="1:16" x14ac:dyDescent="0.2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10</v>
      </c>
    </row>
    <row r="16" spans="1:16" x14ac:dyDescent="0.2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10</v>
      </c>
    </row>
    <row r="17" spans="1:16" x14ac:dyDescent="0.2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10</v>
      </c>
    </row>
    <row r="18" spans="1:16" x14ac:dyDescent="0.2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10</v>
      </c>
    </row>
    <row r="19" spans="1:16" x14ac:dyDescent="0.2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10</v>
      </c>
    </row>
    <row r="20" spans="1:16" x14ac:dyDescent="0.2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10</v>
      </c>
    </row>
    <row r="21" spans="1:16" x14ac:dyDescent="0.2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10</v>
      </c>
    </row>
    <row r="22" spans="1:16" x14ac:dyDescent="0.2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10</v>
      </c>
    </row>
    <row r="23" spans="1:16" x14ac:dyDescent="0.2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10</v>
      </c>
    </row>
    <row r="24" spans="1:16" x14ac:dyDescent="0.2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10</v>
      </c>
    </row>
    <row r="25" spans="1:16" x14ac:dyDescent="0.2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10</v>
      </c>
    </row>
    <row r="26" spans="1:16" x14ac:dyDescent="0.2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10</v>
      </c>
    </row>
    <row r="27" spans="1:16" x14ac:dyDescent="0.2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10</v>
      </c>
    </row>
    <row r="28" spans="1:16" x14ac:dyDescent="0.2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10</v>
      </c>
    </row>
    <row r="29" spans="1:16" x14ac:dyDescent="0.2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10</v>
      </c>
    </row>
    <row r="30" spans="1:16" x14ac:dyDescent="0.2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10</v>
      </c>
    </row>
    <row r="31" spans="1:16" x14ac:dyDescent="0.2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10</v>
      </c>
    </row>
    <row r="32" spans="1:16" x14ac:dyDescent="0.2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10</v>
      </c>
    </row>
    <row r="33" spans="1:16" x14ac:dyDescent="0.2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10</v>
      </c>
    </row>
    <row r="34" spans="1:16" x14ac:dyDescent="0.2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10</v>
      </c>
    </row>
    <row r="35" spans="1:16" x14ac:dyDescent="0.2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10</v>
      </c>
    </row>
    <row r="36" spans="1:16" x14ac:dyDescent="0.2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10</v>
      </c>
    </row>
    <row r="37" spans="1:16" x14ac:dyDescent="0.2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10</v>
      </c>
    </row>
    <row r="38" spans="1:16" x14ac:dyDescent="0.2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10</v>
      </c>
    </row>
    <row r="39" spans="1:16" x14ac:dyDescent="0.2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10</v>
      </c>
    </row>
    <row r="40" spans="1:16" x14ac:dyDescent="0.2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10</v>
      </c>
    </row>
    <row r="41" spans="1:16" x14ac:dyDescent="0.2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10</v>
      </c>
    </row>
    <row r="42" spans="1:16" x14ac:dyDescent="0.2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10</v>
      </c>
    </row>
    <row r="43" spans="1:16" x14ac:dyDescent="0.2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10</v>
      </c>
    </row>
    <row r="44" spans="1:16" x14ac:dyDescent="0.2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10</v>
      </c>
    </row>
    <row r="45" spans="1:16" x14ac:dyDescent="0.2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10</v>
      </c>
    </row>
    <row r="46" spans="1:16" x14ac:dyDescent="0.2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10</v>
      </c>
    </row>
    <row r="47" spans="1:16" x14ac:dyDescent="0.2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10</v>
      </c>
    </row>
    <row r="48" spans="1:16" x14ac:dyDescent="0.2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10</v>
      </c>
    </row>
    <row r="49" spans="1:16" x14ac:dyDescent="0.2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10</v>
      </c>
    </row>
    <row r="50" spans="1:16" x14ac:dyDescent="0.2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2019-03-28T22:16:25Z</dcterms:modified>
</cp:coreProperties>
</file>