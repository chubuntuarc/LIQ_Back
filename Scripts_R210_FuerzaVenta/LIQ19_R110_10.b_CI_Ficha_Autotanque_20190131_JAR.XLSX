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4\Scripts_R210_FuerzaVenta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definedNames>
    <definedName name="_xlnm._FilterDatabase" localSheetId="0" hidden="1">PRODUCTO!$P$2:$P$53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3" i="1" l="1"/>
  <c r="M33" i="1"/>
  <c r="M23" i="1"/>
  <c r="M13" i="1"/>
  <c r="M3" i="1"/>
  <c r="M4" i="1" l="1"/>
  <c r="M5" i="1"/>
  <c r="M6" i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39" i="1"/>
  <c r="M40" i="1"/>
  <c r="M41" i="1"/>
  <c r="M42" i="1"/>
  <c r="M44" i="1"/>
  <c r="M45" i="1"/>
  <c r="M46" i="1"/>
  <c r="M47" i="1"/>
  <c r="M48" i="1"/>
  <c r="M49" i="1"/>
  <c r="M50" i="1"/>
  <c r="M51" i="1"/>
  <c r="M52" i="1"/>
  <c r="M53" i="1"/>
</calcChain>
</file>

<file path=xl/sharedStrings.xml><?xml version="1.0" encoding="utf-8"?>
<sst xmlns="http://schemas.openxmlformats.org/spreadsheetml/2006/main" count="840" uniqueCount="239">
  <si>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</si>
  <si>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</si>
  <si>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</si>
  <si>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</si>
  <si>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</si>
  <si>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</si>
  <si>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</si>
  <si>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</si>
  <si>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</si>
  <si>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</si>
  <si>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</si>
  <si>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</si>
  <si>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</si>
  <si>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</si>
  <si>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</si>
  <si>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</si>
  <si>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</si>
  <si>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</si>
  <si>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</si>
  <si>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</si>
  <si>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</si>
  <si>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</si>
  <si>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</si>
  <si>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</si>
  <si>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</si>
  <si>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</si>
  <si>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</si>
  <si>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</si>
  <si>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</si>
  <si>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</si>
  <si>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</si>
  <si>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</si>
  <si>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</si>
  <si>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</si>
  <si>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</si>
  <si>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</si>
  <si>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</si>
  <si>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</si>
  <si>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</si>
  <si>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</si>
  <si>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</si>
  <si>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</si>
  <si>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</si>
  <si>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</si>
  <si>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</si>
  <si>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</si>
  <si>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</si>
  <si>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</si>
  <si>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</si>
  <si>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</si>
  <si>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</si>
  <si>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</si>
  <si>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</si>
  <si>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</si>
  <si>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</si>
  <si>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</si>
  <si>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</si>
  <si>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</si>
  <si>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</si>
  <si>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</si>
  <si>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</si>
  <si>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</si>
  <si>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</si>
  <si>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</si>
  <si>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</si>
  <si>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</si>
  <si>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</si>
  <si>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</si>
  <si>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</si>
  <si>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</si>
  <si>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</si>
  <si>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</si>
  <si>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</si>
  <si>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</si>
  <si>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</si>
  <si>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</si>
  <si>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</si>
  <si>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</si>
  <si>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</si>
  <si>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</si>
  <si>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</si>
  <si>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</si>
  <si>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</si>
  <si>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</si>
  <si>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</si>
  <si>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</si>
  <si>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</si>
  <si>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</si>
  <si>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</si>
  <si>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</si>
  <si>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</si>
  <si>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</si>
  <si>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</si>
  <si>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</si>
  <si>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</si>
  <si>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</si>
  <si>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</si>
  <si>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</si>
  <si>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</si>
  <si>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</si>
  <si>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</si>
  <si>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</si>
  <si>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</si>
  <si>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</si>
  <si>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</si>
  <si>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</si>
  <si>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</si>
  <si>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</si>
  <si>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</si>
  <si>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</si>
  <si>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LECTURA_INICIAL</t>
  </si>
  <si>
    <t>LECTURA_FINAL</t>
  </si>
  <si>
    <t>MATRICULA</t>
  </si>
  <si>
    <t>ABC123</t>
  </si>
  <si>
    <t>BCD345</t>
  </si>
  <si>
    <t>EDE657</t>
  </si>
  <si>
    <t>FEFE889</t>
  </si>
  <si>
    <t>MAT123</t>
  </si>
  <si>
    <t>MARCA</t>
  </si>
  <si>
    <t>CHEVROLET</t>
  </si>
  <si>
    <t>MODELO</t>
  </si>
  <si>
    <t>KILOMETRAJE</t>
  </si>
  <si>
    <t>SERIE</t>
  </si>
  <si>
    <t>CAPACIDAD</t>
  </si>
  <si>
    <t>PORCENTAJE</t>
  </si>
  <si>
    <t>N/D</t>
  </si>
  <si>
    <t>DV10365</t>
  </si>
  <si>
    <t>ZTV6503</t>
  </si>
  <si>
    <t>DW31616</t>
  </si>
  <si>
    <t>DX06774</t>
  </si>
  <si>
    <t>DV10363</t>
  </si>
  <si>
    <t>DV10362</t>
  </si>
  <si>
    <t>DY-2983</t>
  </si>
  <si>
    <t>DV10456</t>
  </si>
  <si>
    <t>DV10458</t>
  </si>
  <si>
    <t>DV10419</t>
  </si>
  <si>
    <t>DV10353</t>
  </si>
  <si>
    <t>DV10359</t>
  </si>
  <si>
    <t>GMC</t>
  </si>
  <si>
    <t>GENERAL MOTORSS</t>
  </si>
  <si>
    <t>2006</t>
  </si>
  <si>
    <t>164292</t>
  </si>
  <si>
    <t>141076</t>
  </si>
  <si>
    <t>0</t>
  </si>
  <si>
    <t>1997</t>
  </si>
  <si>
    <t>1578795</t>
  </si>
  <si>
    <t>1990</t>
  </si>
  <si>
    <t>61784</t>
  </si>
  <si>
    <t>1996</t>
  </si>
  <si>
    <t>170980</t>
  </si>
  <si>
    <t>G.M.KODIAK</t>
  </si>
  <si>
    <t>2005</t>
  </si>
  <si>
    <t>1995</t>
  </si>
  <si>
    <t>2099804</t>
  </si>
  <si>
    <t>1992</t>
  </si>
  <si>
    <t>1881350</t>
  </si>
  <si>
    <t>2002</t>
  </si>
  <si>
    <t>2443861</t>
  </si>
  <si>
    <t>1946859</t>
  </si>
  <si>
    <t>1978555</t>
  </si>
  <si>
    <t>1276028</t>
  </si>
  <si>
    <t>GMC C7500</t>
  </si>
  <si>
    <t>2001</t>
  </si>
  <si>
    <t>1733700</t>
  </si>
  <si>
    <t>NISSAN</t>
  </si>
  <si>
    <t>2010</t>
  </si>
  <si>
    <t>29056</t>
  </si>
  <si>
    <t>17711</t>
  </si>
  <si>
    <t>CHEVROLET HEAVY DUTY</t>
  </si>
  <si>
    <t>2007</t>
  </si>
  <si>
    <t>1.9</t>
  </si>
  <si>
    <t>22098</t>
  </si>
  <si>
    <t>1.3</t>
  </si>
  <si>
    <t>228.6</t>
  </si>
  <si>
    <t>31741</t>
  </si>
  <si>
    <t>8911979</t>
  </si>
  <si>
    <t>NISSAN VPM</t>
  </si>
  <si>
    <t>2008</t>
  </si>
  <si>
    <t>56309</t>
  </si>
  <si>
    <t>3GBKC34G55M118806</t>
  </si>
  <si>
    <t>3GBKC34G75M118922</t>
  </si>
  <si>
    <t>1GDJ7H1E4J901664</t>
  </si>
  <si>
    <t>3GBKC34GX5M101984</t>
  </si>
  <si>
    <t>3GBKC34G55M118837</t>
  </si>
  <si>
    <t>3GBKC34GX5M118915</t>
  </si>
  <si>
    <t>1GDG6H1P9RJ519414</t>
  </si>
  <si>
    <t>3GCM7HIMXVM501317</t>
  </si>
  <si>
    <t>1GBM7H1P2PJ101461</t>
  </si>
  <si>
    <t>1G1GDJ6H1BXXJ504086</t>
  </si>
  <si>
    <t>3GBJ6H1E45M105516</t>
  </si>
  <si>
    <t>1G017H1P45J520018</t>
  </si>
  <si>
    <t>1GDG6H1T7PJ504326</t>
  </si>
  <si>
    <t>3GBM7H1E62M104342</t>
  </si>
  <si>
    <t>3GBM7H1E52M104266</t>
  </si>
  <si>
    <t>1GBL7H1PXRJ1078</t>
  </si>
  <si>
    <t>1GDG6H1P6TJ504599</t>
  </si>
  <si>
    <t>1GDJ7H1E12J505377</t>
  </si>
  <si>
    <t>013FB0473C4F544B</t>
  </si>
  <si>
    <t>0136B07390508612</t>
  </si>
  <si>
    <t>3N6DD14577K040339</t>
  </si>
  <si>
    <t>013AB067801076420</t>
  </si>
  <si>
    <t>3N6DD14547K040525</t>
  </si>
  <si>
    <t>3N6DD14568K002327</t>
  </si>
  <si>
    <t>0144S02470505EAB</t>
  </si>
  <si>
    <t>3NGDD14528K021599</t>
  </si>
  <si>
    <t>5000</t>
  </si>
  <si>
    <t>12200</t>
  </si>
  <si>
    <t>12500</t>
  </si>
  <si>
    <t>10000</t>
  </si>
  <si>
    <t>8250</t>
  </si>
  <si>
    <t>8670</t>
  </si>
  <si>
    <t>10500</t>
  </si>
  <si>
    <t>6850</t>
  </si>
  <si>
    <t>4750</t>
  </si>
  <si>
    <t>3500</t>
  </si>
  <si>
    <t>1866</t>
  </si>
  <si>
    <t>69</t>
  </si>
  <si>
    <t>22</t>
  </si>
  <si>
    <t>1.5</t>
  </si>
  <si>
    <t>46</t>
  </si>
  <si>
    <t>26</t>
  </si>
  <si>
    <t>50</t>
  </si>
  <si>
    <t>20</t>
  </si>
  <si>
    <t>62.5</t>
  </si>
  <si>
    <t>40</t>
  </si>
  <si>
    <t>63.5</t>
  </si>
  <si>
    <t>79.5</t>
  </si>
  <si>
    <t>90.5</t>
  </si>
  <si>
    <t>15</t>
  </si>
  <si>
    <t>48.5</t>
  </si>
  <si>
    <t>66</t>
  </si>
  <si>
    <t>73.5</t>
  </si>
  <si>
    <t>54.5</t>
  </si>
  <si>
    <t>10</t>
  </si>
  <si>
    <t>80</t>
  </si>
  <si>
    <t>73</t>
  </si>
  <si>
    <t>1</t>
  </si>
  <si>
    <t>K_DETALLE_AUTOTANQUE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</si>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</sst>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U53"/>
  <sheetViews>
    <sheetView showGridLines="0" tabSelected="1" zoomScale="110" zoomScaleNormal="11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3" sqref="M3:M53"/>
    </sheetView>
  </sheetViews>
  <sheetFormatPr baseColWidth="10" defaultRowHeight="15" x14ac:dyDescent="0.25"/>
  <cols>
    <col min="1" max="1" width="5.140625" customWidth="1"/>
    <col min="2" max="2" width="13.140625" style="3" bestFit="1" customWidth="1"/>
    <col min="3" max="4" width="15" bestFit="1" customWidth="1"/>
    <col min="5" max="5" width="13.7109375" bestFit="1" customWidth="1"/>
    <col min="6" max="6" width="10.42578125" bestFit="1" customWidth="1"/>
    <col min="7" max="7" width="20.85546875" style="12" bestFit="1" customWidth="1"/>
    <col min="8" max="8" width="8" style="13" bestFit="1" customWidth="1"/>
    <col min="9" max="9" width="12" style="13" bestFit="1" customWidth="1"/>
    <col min="10" max="10" width="19.85546875" style="1" bestFit="1" customWidth="1"/>
    <col min="11" max="11" width="10.28515625" style="1" bestFit="1" customWidth="1"/>
    <col min="12" max="12" width="11.140625" style="1" bestFit="1" customWidth="1"/>
    <col min="13" max="13" width="122.140625" bestFit="1" customWidth="1"/>
    <col min="15" max="15" width="28.5703125" bestFit="1" customWidth="1"/>
    <col min="16" max="16" width="21.5703125" bestFit="1" customWidth="1"/>
    <col min="17" max="17" width="12" bestFit="1" customWidth="1"/>
    <col min="18" max="18" width="31.85546875" customWidth="1"/>
    <col min="19" max="19" width="13.85546875" bestFit="1" customWidth="1"/>
  </cols>
  <sheetData>
    <row r="2" spans="2:21" s="4" customFormat="1" x14ac:dyDescent="0.25">
      <c r="B2" s="3" t="s">
        <v>237</v>
      </c>
      <c r="C2" s="4" t="s">
        <v>0</v>
      </c>
      <c r="D2" s="4" t="s">
        <v>110</v>
      </c>
      <c r="E2" s="4" t="s">
        <v>111</v>
      </c>
      <c r="F2" s="4" t="s">
        <v>112</v>
      </c>
      <c r="G2" s="10" t="s">
        <v>118</v>
      </c>
      <c r="H2" s="11" t="s">
        <v>120</v>
      </c>
      <c r="I2" s="11" t="s">
        <v>121</v>
      </c>
      <c r="J2" s="5" t="s">
        <v>122</v>
      </c>
      <c r="K2" s="5" t="s">
        <v>123</v>
      </c>
      <c r="L2" s="5" t="s">
        <v>124</v>
      </c>
      <c r="P2" s="4" t="s">
        <v>238</v>
      </c>
      <c r="U2" s="2"/>
    </row>
    <row r="3" spans="2:21" x14ac:dyDescent="0.25">
      <c r="B3" s="3">
        <v>1</v>
      </c>
      <c r="C3">
        <v>1</v>
      </c>
      <c r="D3">
        <v>0</v>
      </c>
      <c r="E3">
        <v>914890</v>
      </c>
      <c r="F3" t="s">
        <v>113</v>
      </c>
      <c r="G3" s="12" t="s">
        <v>125</v>
      </c>
      <c r="H3" s="12" t="s">
        <v>125</v>
      </c>
      <c r="I3" s="12">
        <v>0</v>
      </c>
      <c r="J3" s="8" t="s">
        <v>125</v>
      </c>
      <c r="K3" s="14">
        <v>0</v>
      </c>
      <c r="L3" s="14">
        <v>0</v>
      </c>
      <c r="M3" s="2" t="str">
        <f>CONCATENATE("EXECUTE [dbo].[PG_CI_DETALLE_AUTOTANQUE] 0,0, ",B3,", ",C3,", ",D3,",",E3,",'",F3,"','",G3,"','",H3,"',",I3,",'",J3,"',",K3,",'",L3,"'; ")</f>
        <v xml:space="preserve">EXECUTE [dbo].[PG_CI_DETALLE_AUTOTANQUE] 0,0, 1, 1, 0,914890,'ABC123','N/D','N/D',0,'N/D',0,'0'; </v>
      </c>
      <c r="P3" s="8">
        <v>1</v>
      </c>
      <c r="Q3" s="1"/>
      <c r="U3" s="2"/>
    </row>
    <row r="4" spans="2:21" hidden="1" x14ac:dyDescent="0.25">
      <c r="B4" s="3">
        <v>2</v>
      </c>
      <c r="C4">
        <v>2</v>
      </c>
      <c r="D4">
        <v>0</v>
      </c>
      <c r="E4">
        <v>1363545</v>
      </c>
      <c r="F4" t="s">
        <v>114</v>
      </c>
      <c r="G4" s="12" t="s">
        <v>119</v>
      </c>
      <c r="H4" s="12">
        <v>2006</v>
      </c>
      <c r="I4" s="12">
        <v>233859</v>
      </c>
      <c r="J4" s="8" t="s">
        <v>179</v>
      </c>
      <c r="K4" s="14">
        <v>5000</v>
      </c>
      <c r="L4" s="14">
        <v>68.5</v>
      </c>
      <c r="M4" s="2" t="e">
        <f>CONCATENATE("EXECUTE [dbo].[PG_CI_DETALLE_PUNTO_VENTA] 0,0, ",B4,", ",C4,", ",D4,",",E4,",'",F4,"','",G4,"','",H4,"',",I4,",'",J4,"',",K4,",'",L4,"','",#REF!,"','",#REF!,"'; ")</f>
        <v>#REF!</v>
      </c>
      <c r="P4" s="8">
        <v>3</v>
      </c>
      <c r="R4" s="6"/>
    </row>
    <row r="5" spans="2:21" hidden="1" x14ac:dyDescent="0.25">
      <c r="B5" s="3">
        <v>3</v>
      </c>
      <c r="C5">
        <v>3</v>
      </c>
      <c r="D5">
        <v>0</v>
      </c>
      <c r="E5">
        <v>901407</v>
      </c>
      <c r="F5" t="s">
        <v>115</v>
      </c>
      <c r="G5" s="12" t="s">
        <v>119</v>
      </c>
      <c r="H5" s="12">
        <v>2006</v>
      </c>
      <c r="I5" s="12">
        <v>861705</v>
      </c>
      <c r="J5" s="8" t="s">
        <v>180</v>
      </c>
      <c r="K5" s="14">
        <v>5000</v>
      </c>
      <c r="L5" s="14">
        <v>73</v>
      </c>
      <c r="M5" s="2" t="e">
        <f>CONCATENATE("EXECUTE [dbo].[PG_CI_DETALLE_PUNTO_VENTA] 0,0, ",B5,", ",C5,", ",D5,",",E5,",'",F5,"','",G5,"','",H5,"',",I5,",'",J5,"',",K5,",'",L5,"','",#REF!,"','",#REF!,"'; ")</f>
        <v>#REF!</v>
      </c>
      <c r="P5" s="8">
        <v>2</v>
      </c>
      <c r="R5" s="7"/>
    </row>
    <row r="6" spans="2:21" hidden="1" x14ac:dyDescent="0.25">
      <c r="B6" s="3">
        <v>4</v>
      </c>
      <c r="C6">
        <v>4</v>
      </c>
      <c r="D6">
        <v>0</v>
      </c>
      <c r="E6">
        <v>1981184</v>
      </c>
      <c r="F6" t="s">
        <v>116</v>
      </c>
      <c r="G6" s="12" t="s">
        <v>138</v>
      </c>
      <c r="H6" s="12">
        <v>2002</v>
      </c>
      <c r="I6" s="12">
        <v>1522039</v>
      </c>
      <c r="J6" s="8" t="s">
        <v>181</v>
      </c>
      <c r="K6" s="14">
        <v>11315</v>
      </c>
      <c r="L6" s="14">
        <v>75.5</v>
      </c>
      <c r="M6" s="2" t="e">
        <f>CONCATENATE("EXECUTE [dbo].[PG_CI_DETALLE_PUNTO_VENTA] 0,0, ",B6,", ",C6,", ",D6,",",E6,",'",F6,"','",G6,"','",H6,"',",I6,",'",J6,"',",K6,",'",L6,"','",#REF!,"','",#REF!,"'; ")</f>
        <v>#REF!</v>
      </c>
      <c r="P6" s="8">
        <v>3</v>
      </c>
      <c r="R6" s="7"/>
    </row>
    <row r="7" spans="2:21" hidden="1" x14ac:dyDescent="0.25">
      <c r="B7" s="3">
        <v>5</v>
      </c>
      <c r="C7">
        <v>5</v>
      </c>
      <c r="D7">
        <v>0</v>
      </c>
      <c r="E7">
        <v>2231097</v>
      </c>
      <c r="F7" t="s">
        <v>117</v>
      </c>
      <c r="G7" s="12" t="s">
        <v>139</v>
      </c>
      <c r="H7" s="12">
        <v>2005</v>
      </c>
      <c r="I7" s="12">
        <v>0</v>
      </c>
      <c r="J7" s="8" t="s">
        <v>182</v>
      </c>
      <c r="K7" s="14">
        <v>5000</v>
      </c>
      <c r="L7" s="14">
        <v>70</v>
      </c>
      <c r="M7" s="2" t="e">
        <f>CONCATENATE("EXECUTE [dbo].[PG_CI_DETALLE_PUNTO_VENTA] 0,0, ",B7,", ",C7,", ",D7,",",E7,",'",F7,"','",G7,"','",H7,"',",I7,",'",J7,"',",K7,",'",L7,"','",#REF!,"','",#REF!,"'; ")</f>
        <v>#REF!</v>
      </c>
      <c r="P7" s="8">
        <v>3</v>
      </c>
    </row>
    <row r="8" spans="2:21" hidden="1" x14ac:dyDescent="0.25">
      <c r="B8" s="3">
        <v>6</v>
      </c>
      <c r="C8">
        <v>6</v>
      </c>
      <c r="D8">
        <v>0</v>
      </c>
      <c r="E8">
        <v>504764</v>
      </c>
      <c r="F8" t="s">
        <v>125</v>
      </c>
      <c r="G8" s="12" t="s">
        <v>119</v>
      </c>
      <c r="H8" s="12" t="s">
        <v>140</v>
      </c>
      <c r="I8" s="12" t="s">
        <v>141</v>
      </c>
      <c r="J8" s="8" t="s">
        <v>183</v>
      </c>
      <c r="K8" s="14">
        <v>4300</v>
      </c>
      <c r="L8" s="14">
        <v>74</v>
      </c>
      <c r="M8" s="2" t="e">
        <f>CONCATENATE("EXECUTE [dbo].[PG_CI_DETALLE_PUNTO_VENTA] 0,0, ",B8,", ",C8,", ",D8,",",E8,",'",F8,"','",G8,"','",H8,"',",I8,",'",J8,"',",K8,",'",L8,"','",#REF!,"','",#REF!,"'; ")</f>
        <v>#REF!</v>
      </c>
      <c r="P8" s="8">
        <v>3</v>
      </c>
    </row>
    <row r="9" spans="2:21" hidden="1" x14ac:dyDescent="0.25">
      <c r="B9" s="3">
        <v>7</v>
      </c>
      <c r="C9">
        <v>7</v>
      </c>
      <c r="D9">
        <v>0</v>
      </c>
      <c r="E9">
        <v>478009</v>
      </c>
      <c r="F9" t="s">
        <v>126</v>
      </c>
      <c r="G9" s="12" t="s">
        <v>119</v>
      </c>
      <c r="H9" s="12" t="s">
        <v>140</v>
      </c>
      <c r="I9" s="12" t="s">
        <v>142</v>
      </c>
      <c r="J9" s="1" t="s">
        <v>184</v>
      </c>
      <c r="K9" s="13" t="s">
        <v>205</v>
      </c>
      <c r="L9" s="13" t="s">
        <v>216</v>
      </c>
      <c r="M9" s="2" t="e">
        <f>CONCATENATE("EXECUTE [dbo].[PG_CI_DETALLE_PUNTO_VENTA] 0,0, ",B9,", ",C9,", ",D9,",",E9,",'",F9,"','",G9,"','",H9,"',",I9,",'",J9,"',",K9,",'",L9,"','",#REF!,"','",#REF!,"'; ")</f>
        <v>#REF!</v>
      </c>
      <c r="P9" s="8">
        <v>3</v>
      </c>
    </row>
    <row r="10" spans="2:21" hidden="1" x14ac:dyDescent="0.25">
      <c r="B10" s="3">
        <v>8</v>
      </c>
      <c r="C10">
        <v>8</v>
      </c>
      <c r="D10">
        <v>0</v>
      </c>
      <c r="E10">
        <v>1311155</v>
      </c>
      <c r="F10" t="s">
        <v>125</v>
      </c>
      <c r="G10" s="12" t="s">
        <v>125</v>
      </c>
      <c r="H10" s="12" t="s">
        <v>125</v>
      </c>
      <c r="I10" s="12" t="s">
        <v>143</v>
      </c>
      <c r="J10" s="1" t="s">
        <v>125</v>
      </c>
      <c r="K10" s="13" t="s">
        <v>206</v>
      </c>
      <c r="L10" s="13" t="s">
        <v>217</v>
      </c>
      <c r="M10" s="2" t="e">
        <f>CONCATENATE("EXECUTE [dbo].[PG_CI_DETALLE_PUNTO_VENTA] 0,0, ",B10,", ",C10,", ",D10,",",E10,",'",F10,"','",G10,"','",H10,"',",I10,",'",J10,"',",K10,",'",L10,"','",#REF!,"','",#REF!,"'; ")</f>
        <v>#REF!</v>
      </c>
      <c r="P10" s="8">
        <v>2</v>
      </c>
    </row>
    <row r="11" spans="2:21" hidden="1" x14ac:dyDescent="0.25">
      <c r="B11" s="3">
        <v>9</v>
      </c>
      <c r="C11">
        <v>9</v>
      </c>
      <c r="D11">
        <v>0</v>
      </c>
      <c r="E11">
        <v>1914290</v>
      </c>
      <c r="F11" t="s">
        <v>127</v>
      </c>
      <c r="G11" s="12" t="s">
        <v>138</v>
      </c>
      <c r="H11" s="12" t="s">
        <v>144</v>
      </c>
      <c r="I11" s="12" t="s">
        <v>145</v>
      </c>
      <c r="J11" s="1" t="s">
        <v>185</v>
      </c>
      <c r="K11" s="13" t="s">
        <v>207</v>
      </c>
      <c r="L11" s="13" t="s">
        <v>218</v>
      </c>
      <c r="M11" s="2" t="e">
        <f>CONCATENATE("EXECUTE [dbo].[PG_CI_DETALLE_PUNTO_VENTA] 0,0, ",B11,", ",C11,", ",D11,",",E11,",'",F11,"','",G11,"','",H11,"',",I11,",'",J11,"',",K11,",'",L11,"','",#REF!,"','",#REF!,"'; ")</f>
        <v>#REF!</v>
      </c>
      <c r="P11" s="8">
        <v>3</v>
      </c>
    </row>
    <row r="12" spans="2:21" hidden="1" x14ac:dyDescent="0.25">
      <c r="B12" s="3">
        <v>10</v>
      </c>
      <c r="C12">
        <v>10</v>
      </c>
      <c r="D12">
        <v>0</v>
      </c>
      <c r="E12">
        <v>955488</v>
      </c>
      <c r="F12" t="s">
        <v>128</v>
      </c>
      <c r="G12" s="12" t="s">
        <v>125</v>
      </c>
      <c r="H12" s="12" t="s">
        <v>125</v>
      </c>
      <c r="I12" s="12" t="s">
        <v>143</v>
      </c>
      <c r="J12" s="1" t="s">
        <v>125</v>
      </c>
      <c r="K12" s="13" t="s">
        <v>207</v>
      </c>
      <c r="L12" s="13" t="s">
        <v>219</v>
      </c>
      <c r="M12" s="2" t="e">
        <f>CONCATENATE("EXECUTE [dbo].[PG_CI_DETALLE_PUNTO_VENTA] 0,0, ",B12,", ",C12,", ",D12,",",E12,",'",F12,"','",G12,"','",H12,"',",I12,",'",J12,"',",K12,",'",L12,"','",#REF!,"','",#REF!,"'; ")</f>
        <v>#REF!</v>
      </c>
      <c r="P12" s="8">
        <v>3</v>
      </c>
      <c r="R12" s="15"/>
    </row>
    <row r="13" spans="2:21" x14ac:dyDescent="0.25">
      <c r="B13" s="3">
        <v>2</v>
      </c>
      <c r="C13">
        <v>11</v>
      </c>
      <c r="D13">
        <v>0</v>
      </c>
      <c r="E13">
        <v>252087</v>
      </c>
      <c r="F13" t="s">
        <v>129</v>
      </c>
      <c r="G13" s="12" t="s">
        <v>138</v>
      </c>
      <c r="H13" s="12" t="s">
        <v>125</v>
      </c>
      <c r="I13" s="12" t="s">
        <v>143</v>
      </c>
      <c r="J13" s="1" t="s">
        <v>186</v>
      </c>
      <c r="K13" s="13" t="s">
        <v>207</v>
      </c>
      <c r="L13" s="13" t="s">
        <v>220</v>
      </c>
      <c r="M13" s="2" t="str">
        <f>CONCATENATE("EXECUTE [dbo].[PG_CI_DETALLE_AUTOTANQUE] 0,0, ",B13,", ",C13,", ",D13,",",E13,",'",F13,"','",G13,"','",H13,"',",I13,",'",J13,"',",K13,",'",L13,"'; ")</f>
        <v xml:space="preserve">EXECUTE [dbo].[PG_CI_DETALLE_AUTOTANQUE] 0,0, 2, 11, 0,252087,'DX06774','GMC','N/D',0,'3GCM7HIMXVM501317',12500,'26'; </v>
      </c>
      <c r="P13" s="8">
        <v>1</v>
      </c>
    </row>
    <row r="14" spans="2:21" hidden="1" x14ac:dyDescent="0.25">
      <c r="B14" s="3">
        <v>12</v>
      </c>
      <c r="C14">
        <v>12</v>
      </c>
      <c r="D14">
        <v>0</v>
      </c>
      <c r="E14">
        <v>1901550</v>
      </c>
      <c r="F14" t="s">
        <v>130</v>
      </c>
      <c r="G14" s="12" t="s">
        <v>138</v>
      </c>
      <c r="H14" s="12" t="s">
        <v>146</v>
      </c>
      <c r="I14" s="12" t="s">
        <v>147</v>
      </c>
      <c r="J14" s="1" t="s">
        <v>187</v>
      </c>
      <c r="K14" s="13" t="s">
        <v>207</v>
      </c>
      <c r="L14" s="13" t="s">
        <v>221</v>
      </c>
      <c r="M14" s="2" t="e">
        <f>CONCATENATE("EXECUTE [dbo].[PG_CI_DETALLE_PUNTO_VENTA] 0,0, ",B14,", ",C14,", ",D14,",",E14,",'",F14,"','",G14,"','",H14,"',",I14,",'",J14,"',",K14,",'",L14,"','",#REF!,"','",#REF!,"'; ")</f>
        <v>#REF!</v>
      </c>
      <c r="P14" s="8">
        <v>3</v>
      </c>
    </row>
    <row r="15" spans="2:21" hidden="1" x14ac:dyDescent="0.25">
      <c r="B15" s="3">
        <v>13</v>
      </c>
      <c r="C15">
        <v>13</v>
      </c>
      <c r="D15">
        <v>0</v>
      </c>
      <c r="E15">
        <v>2136581</v>
      </c>
      <c r="F15" t="s">
        <v>125</v>
      </c>
      <c r="G15" s="12" t="s">
        <v>138</v>
      </c>
      <c r="H15" s="12" t="s">
        <v>148</v>
      </c>
      <c r="I15" s="12" t="s">
        <v>149</v>
      </c>
      <c r="J15" s="1" t="s">
        <v>188</v>
      </c>
      <c r="K15" s="13" t="s">
        <v>208</v>
      </c>
      <c r="L15" s="13" t="s">
        <v>222</v>
      </c>
      <c r="M15" s="2" t="e">
        <f>CONCATENATE("EXECUTE [dbo].[PG_CI_DETALLE_PUNTO_VENTA] 0,0, ",B15,", ",C15,", ",D15,",",E15,",'",F15,"','",G15,"','",H15,"',",I15,",'",J15,"',",K15,",'",L15,"','",#REF!,"','",#REF!,"'; ")</f>
        <v>#REF!</v>
      </c>
      <c r="P15" s="8">
        <v>2</v>
      </c>
    </row>
    <row r="16" spans="2:21" hidden="1" x14ac:dyDescent="0.25">
      <c r="B16" s="3">
        <v>14</v>
      </c>
      <c r="C16">
        <v>14</v>
      </c>
      <c r="D16">
        <v>0</v>
      </c>
      <c r="E16">
        <v>5562873</v>
      </c>
      <c r="F16" t="s">
        <v>125</v>
      </c>
      <c r="G16" s="12" t="s">
        <v>150</v>
      </c>
      <c r="H16" s="12" t="s">
        <v>151</v>
      </c>
      <c r="I16" s="12" t="s">
        <v>143</v>
      </c>
      <c r="J16" s="1" t="s">
        <v>189</v>
      </c>
      <c r="K16" s="13" t="s">
        <v>209</v>
      </c>
      <c r="L16" s="13" t="s">
        <v>223</v>
      </c>
      <c r="M16" s="2" t="e">
        <f>CONCATENATE("EXECUTE [dbo].[PG_CI_DETALLE_PUNTO_VENTA] 0,0, ",B16,", ",C16,", ",D16,",",E16,",'",F16,"','",G16,"','",H16,"',",I16,",'",J16,"',",K16,",'",L16,"','",#REF!,"','",#REF!,"'; ")</f>
        <v>#REF!</v>
      </c>
      <c r="P16" s="8">
        <v>3</v>
      </c>
    </row>
    <row r="17" spans="2:16" hidden="1" x14ac:dyDescent="0.25">
      <c r="B17" s="3">
        <v>15</v>
      </c>
      <c r="C17">
        <v>15</v>
      </c>
      <c r="D17">
        <v>0</v>
      </c>
      <c r="E17">
        <v>830297</v>
      </c>
      <c r="F17" t="s">
        <v>125</v>
      </c>
      <c r="G17" s="12" t="s">
        <v>138</v>
      </c>
      <c r="H17" s="12" t="s">
        <v>152</v>
      </c>
      <c r="I17" s="12" t="s">
        <v>153</v>
      </c>
      <c r="J17" s="1" t="s">
        <v>190</v>
      </c>
      <c r="K17" s="13" t="s">
        <v>207</v>
      </c>
      <c r="L17" s="13" t="s">
        <v>224</v>
      </c>
      <c r="M17" s="2" t="e">
        <f>CONCATENATE("EXECUTE [dbo].[PG_CI_DETALLE_PUNTO_VENTA] 0,0, ",B17,", ",C17,", ",D17,",",E17,",'",F17,"','",G17,"','",H17,"',",I17,",'",J17,"',",K17,",'",L17,"','",#REF!,"','",#REF!,"'; ")</f>
        <v>#REF!</v>
      </c>
      <c r="P17" s="8">
        <v>3</v>
      </c>
    </row>
    <row r="18" spans="2:16" hidden="1" x14ac:dyDescent="0.25">
      <c r="B18" s="3">
        <v>16</v>
      </c>
      <c r="C18">
        <v>16</v>
      </c>
      <c r="D18">
        <v>0</v>
      </c>
      <c r="E18">
        <v>1696797</v>
      </c>
      <c r="F18" t="s">
        <v>131</v>
      </c>
      <c r="G18" s="12" t="s">
        <v>138</v>
      </c>
      <c r="H18" s="12" t="s">
        <v>154</v>
      </c>
      <c r="I18" s="12" t="s">
        <v>155</v>
      </c>
      <c r="J18" s="1" t="s">
        <v>191</v>
      </c>
      <c r="K18" s="13" t="s">
        <v>210</v>
      </c>
      <c r="L18" s="13" t="s">
        <v>225</v>
      </c>
      <c r="M18" s="2" t="e">
        <f>CONCATENATE("EXECUTE [dbo].[PG_CI_DETALLE_PUNTO_VENTA] 0,0, ",B18,", ",C18,", ",D18,",",E18,",'",F18,"','",G18,"','",H18,"',",I18,",'",J18,"',",K18,",'",L18,"','",#REF!,"','",#REF!,"'; ")</f>
        <v>#REF!</v>
      </c>
      <c r="P18" s="8">
        <v>3</v>
      </c>
    </row>
    <row r="19" spans="2:16" hidden="1" x14ac:dyDescent="0.25">
      <c r="B19" s="3">
        <v>17</v>
      </c>
      <c r="C19">
        <v>17</v>
      </c>
      <c r="D19">
        <v>0</v>
      </c>
      <c r="E19">
        <v>1419365</v>
      </c>
      <c r="F19" t="s">
        <v>125</v>
      </c>
      <c r="G19" s="12" t="s">
        <v>119</v>
      </c>
      <c r="H19" s="12" t="s">
        <v>156</v>
      </c>
      <c r="I19" s="12" t="s">
        <v>157</v>
      </c>
      <c r="J19" s="1" t="s">
        <v>192</v>
      </c>
      <c r="K19" s="13" t="s">
        <v>207</v>
      </c>
      <c r="L19" s="13" t="s">
        <v>226</v>
      </c>
      <c r="M19" s="2" t="e">
        <f>CONCATENATE("EXECUTE [dbo].[PG_CI_DETALLE_PUNTO_VENTA] 0,0, ",B19,", ",C19,", ",D19,",",E19,",'",F19,"','",G19,"','",H19,"',",I19,",'",J19,"',",K19,",'",L19,"','",#REF!,"','",#REF!,"'; ")</f>
        <v>#REF!</v>
      </c>
      <c r="P19" s="8">
        <v>3</v>
      </c>
    </row>
    <row r="20" spans="2:16" hidden="1" x14ac:dyDescent="0.25">
      <c r="B20" s="3">
        <v>18</v>
      </c>
      <c r="C20">
        <v>18</v>
      </c>
      <c r="D20">
        <v>0</v>
      </c>
      <c r="E20">
        <v>3998929</v>
      </c>
      <c r="F20" t="s">
        <v>125</v>
      </c>
      <c r="G20" s="12" t="s">
        <v>119</v>
      </c>
      <c r="H20" s="12" t="s">
        <v>156</v>
      </c>
      <c r="I20" s="12" t="s">
        <v>158</v>
      </c>
      <c r="J20" s="1" t="s">
        <v>193</v>
      </c>
      <c r="K20" s="13" t="s">
        <v>207</v>
      </c>
      <c r="L20" s="13" t="s">
        <v>227</v>
      </c>
      <c r="M20" s="2" t="e">
        <f>CONCATENATE("EXECUTE [dbo].[PG_CI_DETALLE_PUNTO_VENTA] 0,0, ",B20,", ",C20,", ",D20,",",E20,",'",F20,"','",G20,"','",H20,"',",I20,",'",J20,"',",K20,",'",L20,"','",#REF!,"','",#REF!,"'; ")</f>
        <v>#REF!</v>
      </c>
      <c r="P20" s="8">
        <v>2</v>
      </c>
    </row>
    <row r="21" spans="2:16" hidden="1" x14ac:dyDescent="0.25">
      <c r="B21" s="3">
        <v>19</v>
      </c>
      <c r="C21">
        <v>19</v>
      </c>
      <c r="D21">
        <v>0</v>
      </c>
      <c r="E21">
        <v>2712677</v>
      </c>
      <c r="F21" t="s">
        <v>132</v>
      </c>
      <c r="G21" s="12" t="s">
        <v>125</v>
      </c>
      <c r="H21" s="12" t="s">
        <v>125</v>
      </c>
      <c r="I21" s="12" t="s">
        <v>143</v>
      </c>
      <c r="J21" s="1" t="s">
        <v>125</v>
      </c>
      <c r="K21" s="13" t="s">
        <v>207</v>
      </c>
      <c r="L21" s="13" t="s">
        <v>228</v>
      </c>
      <c r="M21" s="2" t="e">
        <f>CONCATENATE("EXECUTE [dbo].[PG_CI_DETALLE_PUNTO_VENTA] 0,0, ",B21,", ",C21,", ",D21,",",E21,",'",F21,"','",G21,"','",H21,"',",I21,",'",J21,"',",K21,",'",L21,"','",#REF!,"','",#REF!,"'; ")</f>
        <v>#REF!</v>
      </c>
      <c r="P21" s="8">
        <v>3</v>
      </c>
    </row>
    <row r="22" spans="2:16" hidden="1" x14ac:dyDescent="0.25">
      <c r="B22" s="3">
        <v>20</v>
      </c>
      <c r="C22">
        <v>20</v>
      </c>
      <c r="D22">
        <v>0</v>
      </c>
      <c r="E22">
        <v>1410981</v>
      </c>
      <c r="F22" t="s">
        <v>125</v>
      </c>
      <c r="G22" s="12" t="s">
        <v>138</v>
      </c>
      <c r="H22" s="12" t="s">
        <v>125</v>
      </c>
      <c r="I22" s="12" t="s">
        <v>143</v>
      </c>
      <c r="J22" s="1" t="s">
        <v>125</v>
      </c>
      <c r="K22" s="13" t="s">
        <v>207</v>
      </c>
      <c r="L22" s="13" t="s">
        <v>229</v>
      </c>
      <c r="M22" s="2" t="e">
        <f>CONCATENATE("EXECUTE [dbo].[PG_CI_DETALLE_PUNTO_VENTA] 0,0, ",B22,", ",C22,", ",D22,",",E22,",'",F22,"','",G22,"','",H22,"',",I22,",'",J22,"',",K22,",'",L22,"','",#REF!,"','",#REF!,"'; ")</f>
        <v>#REF!</v>
      </c>
      <c r="P22" s="8">
        <v>3</v>
      </c>
    </row>
    <row r="23" spans="2:16" x14ac:dyDescent="0.25">
      <c r="B23" s="3">
        <v>3</v>
      </c>
      <c r="C23">
        <v>21</v>
      </c>
      <c r="D23">
        <v>0</v>
      </c>
      <c r="E23">
        <v>28466678</v>
      </c>
      <c r="F23" t="s">
        <v>125</v>
      </c>
      <c r="G23" s="12" t="s">
        <v>138</v>
      </c>
      <c r="H23" s="12" t="s">
        <v>144</v>
      </c>
      <c r="I23" s="12" t="s">
        <v>159</v>
      </c>
      <c r="J23" s="1" t="s">
        <v>194</v>
      </c>
      <c r="K23" s="13" t="s">
        <v>207</v>
      </c>
      <c r="L23" s="13" t="s">
        <v>143</v>
      </c>
      <c r="M23" s="2" t="str">
        <f>CONCATENATE("EXECUTE [dbo].[PG_CI_DETALLE_AUTOTANQUE] 0,0, ",B23,", ",C23,", ",D23,",",E23,",'",F23,"','",G23,"','",H23,"',",I23,",'",J23,"',",K23,",'",L23,"'; ")</f>
        <v xml:space="preserve">EXECUTE [dbo].[PG_CI_DETALLE_AUTOTANQUE] 0,0, 3, 21, 0,28466678,'N/D','GMC','1997',1978555,'1GBL7H1PXRJ1078',12500,'0'; </v>
      </c>
      <c r="P23" s="8">
        <v>1</v>
      </c>
    </row>
    <row r="24" spans="2:16" hidden="1" x14ac:dyDescent="0.25">
      <c r="B24" s="3">
        <v>22</v>
      </c>
      <c r="C24">
        <v>22</v>
      </c>
      <c r="D24">
        <v>0</v>
      </c>
      <c r="E24">
        <v>3486404</v>
      </c>
      <c r="F24" t="s">
        <v>133</v>
      </c>
      <c r="G24" s="12" t="s">
        <v>138</v>
      </c>
      <c r="H24" s="12" t="s">
        <v>152</v>
      </c>
      <c r="I24" s="12" t="s">
        <v>160</v>
      </c>
      <c r="J24" s="1" t="s">
        <v>195</v>
      </c>
      <c r="K24" s="13" t="s">
        <v>207</v>
      </c>
      <c r="L24" s="13" t="s">
        <v>230</v>
      </c>
      <c r="M24" s="2" t="e">
        <f>CONCATENATE("EXECUTE [dbo].[PG_CI_DETALLE_PUNTO_VENTA] 0,0, ",B24,", ",C24,", ",D24,",",E24,",'",F24,"','",G24,"','",H24,"',",I24,",'",J24,"',",K24,",'",L24,"','",#REF!,"','",#REF!,"'; ")</f>
        <v>#REF!</v>
      </c>
      <c r="P24" s="8">
        <v>3</v>
      </c>
    </row>
    <row r="25" spans="2:16" hidden="1" x14ac:dyDescent="0.25">
      <c r="B25" s="3">
        <v>23</v>
      </c>
      <c r="C25">
        <v>23</v>
      </c>
      <c r="D25">
        <v>0</v>
      </c>
      <c r="E25">
        <v>136286</v>
      </c>
      <c r="F25" t="s">
        <v>134</v>
      </c>
      <c r="G25" s="12" t="s">
        <v>161</v>
      </c>
      <c r="H25" s="12" t="s">
        <v>162</v>
      </c>
      <c r="I25" s="12" t="s">
        <v>163</v>
      </c>
      <c r="J25" s="1" t="s">
        <v>196</v>
      </c>
      <c r="K25" s="13" t="s">
        <v>211</v>
      </c>
      <c r="L25" s="13" t="s">
        <v>231</v>
      </c>
      <c r="M25" s="2" t="e">
        <f>CONCATENATE("EXECUTE [dbo].[PG_CI_DETALLE_PUNTO_VENTA] 0,0, ",B25,", ",C25,", ",D25,",",E25,",'",F25,"','",G25,"','",H25,"',",I25,",'",J25,"',",K25,",'",L25,"','",#REF!,"','",#REF!,"'; ")</f>
        <v>#REF!</v>
      </c>
      <c r="P25" s="8">
        <v>2</v>
      </c>
    </row>
    <row r="26" spans="2:16" hidden="1" x14ac:dyDescent="0.25">
      <c r="B26" s="3">
        <v>24</v>
      </c>
      <c r="C26">
        <v>24</v>
      </c>
      <c r="D26">
        <v>0</v>
      </c>
      <c r="E26">
        <v>2083770</v>
      </c>
      <c r="F26" t="s">
        <v>125</v>
      </c>
      <c r="G26" s="12" t="s">
        <v>138</v>
      </c>
      <c r="H26" s="12" t="s">
        <v>125</v>
      </c>
      <c r="I26" s="12" t="s">
        <v>143</v>
      </c>
      <c r="J26" s="1" t="s">
        <v>125</v>
      </c>
      <c r="K26" s="13" t="s">
        <v>212</v>
      </c>
      <c r="L26" s="13" t="s">
        <v>232</v>
      </c>
      <c r="M26" s="2" t="e">
        <f>CONCATENATE("EXECUTE [dbo].[PG_CI_DETALLE_PUNTO_VENTA] 0,0, ",B26,", ",C26,", ",D26,",",E26,",'",F26,"','",G26,"','",H26,"',",I26,",'",J26,"',",K26,",'",L26,"','",#REF!,"','",#REF!,"'; ")</f>
        <v>#REF!</v>
      </c>
      <c r="P26" s="8">
        <v>3</v>
      </c>
    </row>
    <row r="27" spans="2:16" hidden="1" x14ac:dyDescent="0.25">
      <c r="B27" s="3">
        <v>25</v>
      </c>
      <c r="C27">
        <v>25</v>
      </c>
      <c r="D27">
        <v>0</v>
      </c>
      <c r="E27">
        <v>378890</v>
      </c>
      <c r="F27" t="s">
        <v>125</v>
      </c>
      <c r="G27" s="12" t="s">
        <v>164</v>
      </c>
      <c r="H27" s="12" t="s">
        <v>165</v>
      </c>
      <c r="I27" s="12" t="s">
        <v>166</v>
      </c>
      <c r="J27" s="1" t="s">
        <v>197</v>
      </c>
      <c r="K27" s="13" t="s">
        <v>143</v>
      </c>
      <c r="L27" s="13" t="s">
        <v>143</v>
      </c>
      <c r="M27" s="2" t="e">
        <f>CONCATENATE("EXECUTE [dbo].[PG_CI_DETALLE_PUNTO_VENTA] 0,0, ",B27,", ",C27,", ",D27,",",E27,",'",F27,"','",G27,"','",H27,"',",I27,",'",J27,"',",K27,",'",L27,"','",#REF!,"','",#REF!,"'; ")</f>
        <v>#REF!</v>
      </c>
      <c r="P27" s="8">
        <v>3</v>
      </c>
    </row>
    <row r="28" spans="2:16" hidden="1" x14ac:dyDescent="0.25">
      <c r="B28" s="3">
        <v>26</v>
      </c>
      <c r="C28">
        <v>26</v>
      </c>
      <c r="D28">
        <v>0</v>
      </c>
      <c r="E28">
        <v>1093487</v>
      </c>
      <c r="F28" t="s">
        <v>125</v>
      </c>
      <c r="G28" s="12" t="s">
        <v>164</v>
      </c>
      <c r="H28" s="12" t="s">
        <v>165</v>
      </c>
      <c r="I28" s="12" t="s">
        <v>167</v>
      </c>
      <c r="J28" s="1" t="s">
        <v>198</v>
      </c>
      <c r="K28" s="13" t="s">
        <v>143</v>
      </c>
      <c r="L28" s="13" t="s">
        <v>143</v>
      </c>
      <c r="M28" s="2" t="e">
        <f>CONCATENATE("EXECUTE [dbo].[PG_CI_DETALLE_PUNTO_VENTA] 0,0, ",B28,", ",C28,", ",D28,",",E28,",'",F28,"','",G28,"','",H28,"',",I28,",'",J28,"',",K28,",'",L28,"','",#REF!,"','",#REF!,"'; ")</f>
        <v>#REF!</v>
      </c>
      <c r="P28" s="8">
        <v>3</v>
      </c>
    </row>
    <row r="29" spans="2:16" hidden="1" x14ac:dyDescent="0.25">
      <c r="B29" s="3">
        <v>27</v>
      </c>
      <c r="C29">
        <v>27</v>
      </c>
      <c r="D29">
        <v>0</v>
      </c>
      <c r="E29">
        <v>3332044</v>
      </c>
      <c r="F29" t="s">
        <v>135</v>
      </c>
      <c r="G29" s="12" t="s">
        <v>168</v>
      </c>
      <c r="H29" s="12" t="s">
        <v>125</v>
      </c>
      <c r="I29" s="12" t="s">
        <v>143</v>
      </c>
      <c r="J29" s="1" t="s">
        <v>125</v>
      </c>
      <c r="K29" s="13" t="s">
        <v>143</v>
      </c>
      <c r="L29" s="13" t="s">
        <v>143</v>
      </c>
      <c r="M29" s="2" t="e">
        <f>CONCATENATE("EXECUTE [dbo].[PG_CI_DETALLE_PUNTO_VENTA] 0,0, ",B29,", ",C29,", ",D29,",",E29,",'",F29,"','",G29,"','",H29,"',",I29,",'",J29,"',",K29,",'",L29,"','",#REF!,"','",#REF!,"'; ")</f>
        <v>#REF!</v>
      </c>
      <c r="P29" s="8">
        <v>3</v>
      </c>
    </row>
    <row r="30" spans="2:16" hidden="1" x14ac:dyDescent="0.25">
      <c r="B30" s="3">
        <v>28</v>
      </c>
      <c r="C30">
        <v>28</v>
      </c>
      <c r="D30">
        <v>0</v>
      </c>
      <c r="E30">
        <v>468176</v>
      </c>
      <c r="F30" t="s">
        <v>125</v>
      </c>
      <c r="G30" s="12" t="s">
        <v>164</v>
      </c>
      <c r="H30" s="12" t="s">
        <v>169</v>
      </c>
      <c r="I30" s="12" t="s">
        <v>170</v>
      </c>
      <c r="J30" s="1" t="s">
        <v>199</v>
      </c>
      <c r="K30" s="13" t="s">
        <v>143</v>
      </c>
      <c r="L30" s="13" t="s">
        <v>143</v>
      </c>
      <c r="M30" s="2" t="e">
        <f>CONCATENATE("EXECUTE [dbo].[PG_CI_DETALLE_PUNTO_VENTA] 0,0, ",B30,", ",C30,", ",D30,",",E30,",'",F30,"','",G30,"','",H30,"',",I30,",'",J30,"',",K30,",'",L30,"','",#REF!,"','",#REF!,"'; ")</f>
        <v>#REF!</v>
      </c>
      <c r="P30" s="8">
        <v>2</v>
      </c>
    </row>
    <row r="31" spans="2:16" hidden="1" x14ac:dyDescent="0.25">
      <c r="B31" s="3">
        <v>29</v>
      </c>
      <c r="C31">
        <v>29</v>
      </c>
      <c r="D31">
        <v>0</v>
      </c>
      <c r="E31">
        <v>1553369</v>
      </c>
      <c r="F31" t="s">
        <v>125</v>
      </c>
      <c r="G31" s="12" t="s">
        <v>164</v>
      </c>
      <c r="H31" s="12" t="s">
        <v>165</v>
      </c>
      <c r="I31" s="12" t="s">
        <v>143</v>
      </c>
      <c r="J31" s="1" t="s">
        <v>198</v>
      </c>
      <c r="K31" s="13" t="s">
        <v>143</v>
      </c>
      <c r="L31" s="13" t="s">
        <v>143</v>
      </c>
      <c r="M31" s="2" t="e">
        <f>CONCATENATE("EXECUTE [dbo].[PG_CI_DETALLE_PUNTO_VENTA] 0,0, ",B31,", ",C31,", ",D31,",",E31,",'",F31,"','",G31,"','",H31,"',",I31,",'",J31,"',",K31,",'",L31,"','",#REF!,"','",#REF!,"'; ")</f>
        <v>#REF!</v>
      </c>
      <c r="P31" s="8">
        <v>3</v>
      </c>
    </row>
    <row r="32" spans="2:16" hidden="1" x14ac:dyDescent="0.25">
      <c r="B32" s="3">
        <v>30</v>
      </c>
      <c r="C32">
        <v>30</v>
      </c>
      <c r="D32">
        <v>0</v>
      </c>
      <c r="E32">
        <v>4202089</v>
      </c>
      <c r="F32" t="s">
        <v>125</v>
      </c>
      <c r="G32" s="12" t="s">
        <v>164</v>
      </c>
      <c r="H32" s="12" t="s">
        <v>165</v>
      </c>
      <c r="I32" s="12" t="s">
        <v>171</v>
      </c>
      <c r="J32" s="1" t="s">
        <v>200</v>
      </c>
      <c r="K32" s="13" t="s">
        <v>143</v>
      </c>
      <c r="L32" s="13" t="s">
        <v>143</v>
      </c>
      <c r="M32" s="2" t="e">
        <f>CONCATENATE("EXECUTE [dbo].[PG_CI_DETALLE_PUNTO_VENTA] 0,0, ",B32,", ",C32,", ",D32,",",E32,",'",F32,"','",G32,"','",H32,"',",I32,",'",J32,"',",K32,",'",L32,"','",#REF!,"','",#REF!,"'; ")</f>
        <v>#REF!</v>
      </c>
      <c r="P32" s="8">
        <v>3</v>
      </c>
    </row>
    <row r="33" spans="2:16" x14ac:dyDescent="0.25">
      <c r="B33" s="3">
        <v>4</v>
      </c>
      <c r="C33">
        <v>31</v>
      </c>
      <c r="D33">
        <v>0</v>
      </c>
      <c r="E33">
        <v>1899661</v>
      </c>
      <c r="F33" t="s">
        <v>125</v>
      </c>
      <c r="G33" s="12" t="s">
        <v>125</v>
      </c>
      <c r="H33" s="12" t="s">
        <v>125</v>
      </c>
      <c r="I33" s="12" t="s">
        <v>143</v>
      </c>
      <c r="J33" s="1" t="s">
        <v>125</v>
      </c>
      <c r="K33" s="13" t="s">
        <v>143</v>
      </c>
      <c r="L33" s="13" t="s">
        <v>143</v>
      </c>
      <c r="M33" s="2" t="str">
        <f>CONCATENATE("EXECUTE [dbo].[PG_CI_DETALLE_AUTOTANQUE] 0,0, ",B33,", ",C33,", ",D33,",",E33,",'",F33,"','",G33,"','",H33,"',",I33,",'",J33,"',",K33,",'",L33,"'; ")</f>
        <v xml:space="preserve">EXECUTE [dbo].[PG_CI_DETALLE_AUTOTANQUE] 0,0, 4, 31, 0,1899661,'N/D','N/D','N/D',0,'N/D',0,'0'; </v>
      </c>
      <c r="P33" s="8">
        <v>1</v>
      </c>
    </row>
    <row r="34" spans="2:16" hidden="1" x14ac:dyDescent="0.25">
      <c r="B34" s="3">
        <v>32</v>
      </c>
      <c r="C34">
        <v>32</v>
      </c>
      <c r="D34">
        <v>0</v>
      </c>
      <c r="E34">
        <v>2756981</v>
      </c>
      <c r="F34" t="s">
        <v>125</v>
      </c>
      <c r="G34" s="12" t="s">
        <v>125</v>
      </c>
      <c r="H34" s="12" t="s">
        <v>125</v>
      </c>
      <c r="I34" s="12" t="s">
        <v>143</v>
      </c>
      <c r="J34" s="1" t="s">
        <v>125</v>
      </c>
      <c r="K34" s="13" t="s">
        <v>143</v>
      </c>
      <c r="L34" s="13" t="s">
        <v>143</v>
      </c>
      <c r="M34" s="2" t="e">
        <f>CONCATENATE("EXECUTE [dbo].[PG_CI_DETALLE_PUNTO_VENTA] 0,0, ",B34,", ",C34,", ",D34,",",E34,",'",F34,"','",G34,"','",H34,"',",I34,",'",J34,"',",K34,",'",L34,"','",#REF!,"','",#REF!,"'; ")</f>
        <v>#REF!</v>
      </c>
      <c r="P34" s="8">
        <v>3</v>
      </c>
    </row>
    <row r="35" spans="2:16" hidden="1" x14ac:dyDescent="0.25">
      <c r="B35" s="3">
        <v>33</v>
      </c>
      <c r="C35">
        <v>33</v>
      </c>
      <c r="D35">
        <v>0</v>
      </c>
      <c r="E35">
        <v>2379843</v>
      </c>
      <c r="F35" t="s">
        <v>136</v>
      </c>
      <c r="G35" s="12" t="s">
        <v>125</v>
      </c>
      <c r="H35" s="12" t="s">
        <v>125</v>
      </c>
      <c r="I35" s="12" t="s">
        <v>143</v>
      </c>
      <c r="J35" s="1" t="s">
        <v>125</v>
      </c>
      <c r="K35" s="13" t="s">
        <v>143</v>
      </c>
      <c r="L35" s="13" t="s">
        <v>143</v>
      </c>
      <c r="M35" s="2" t="e">
        <f>CONCATENATE("EXECUTE [dbo].[PG_CI_DETALLE_PUNTO_VENTA] 0,0, ",B35,", ",C35,", ",D35,",",E35,",'",F35,"','",G35,"','",H35,"',",I35,",'",J35,"',",K35,",'",L35,"','",#REF!,"','",#REF!,"'; ")</f>
        <v>#REF!</v>
      </c>
      <c r="P35" s="8">
        <v>2</v>
      </c>
    </row>
    <row r="36" spans="2:16" hidden="1" x14ac:dyDescent="0.25">
      <c r="B36" s="3">
        <v>34</v>
      </c>
      <c r="C36">
        <v>34</v>
      </c>
      <c r="D36">
        <v>0</v>
      </c>
      <c r="E36">
        <v>2640765</v>
      </c>
      <c r="F36" t="s">
        <v>125</v>
      </c>
      <c r="G36" s="12" t="s">
        <v>125</v>
      </c>
      <c r="H36" s="12" t="s">
        <v>125</v>
      </c>
      <c r="I36" s="12" t="s">
        <v>143</v>
      </c>
      <c r="J36" s="1" t="s">
        <v>125</v>
      </c>
      <c r="K36" s="13" t="s">
        <v>143</v>
      </c>
      <c r="L36" s="13" t="s">
        <v>143</v>
      </c>
      <c r="M36" s="2" t="e">
        <f>CONCATENATE("EXECUTE [dbo].[PG_CI_DETALLE_PUNTO_VENTA] 0,0, ",B36,", ",C36,", ",D36,",",E36,",'",F36,"','",G36,"','",H36,"',",I36,",'",J36,"',",K36,",'",L36,"','",#REF!,"','",#REF!,"'; ")</f>
        <v>#REF!</v>
      </c>
      <c r="P36" s="8">
        <v>3</v>
      </c>
    </row>
    <row r="37" spans="2:16" hidden="1" x14ac:dyDescent="0.25">
      <c r="B37" s="3">
        <v>35</v>
      </c>
      <c r="C37">
        <v>35</v>
      </c>
      <c r="D37">
        <v>0</v>
      </c>
      <c r="E37">
        <v>613949</v>
      </c>
      <c r="F37" t="s">
        <v>125</v>
      </c>
      <c r="G37" s="12" t="s">
        <v>164</v>
      </c>
      <c r="H37" s="12" t="s">
        <v>169</v>
      </c>
      <c r="I37" s="12" t="s">
        <v>172</v>
      </c>
      <c r="J37" s="1" t="s">
        <v>201</v>
      </c>
      <c r="K37" s="13" t="s">
        <v>143</v>
      </c>
      <c r="L37" s="13" t="s">
        <v>143</v>
      </c>
      <c r="M37" s="2" t="e">
        <f>CONCATENATE("EXECUTE [dbo].[PG_CI_DETALLE_PUNTO_VENTA] 0,0, ",B37,", ",C37,", ",D37,",",E37,",'",F37,"','",G37,"','",H37,"',",I37,",'",J37,"',",K37,",'",L37,"','",#REF!,"','",#REF!,"'; ")</f>
        <v>#REF!</v>
      </c>
      <c r="P37" s="8">
        <v>3</v>
      </c>
    </row>
    <row r="38" spans="2:16" hidden="1" x14ac:dyDescent="0.25">
      <c r="B38" s="3">
        <v>36</v>
      </c>
      <c r="C38">
        <v>36</v>
      </c>
      <c r="D38">
        <v>0</v>
      </c>
      <c r="E38">
        <v>1818505</v>
      </c>
      <c r="F38" t="s">
        <v>125</v>
      </c>
      <c r="G38" s="12" t="s">
        <v>125</v>
      </c>
      <c r="H38" s="12" t="s">
        <v>125</v>
      </c>
      <c r="I38" s="12" t="s">
        <v>143</v>
      </c>
      <c r="J38" s="1" t="s">
        <v>125</v>
      </c>
      <c r="K38" s="13" t="s">
        <v>143</v>
      </c>
      <c r="L38" s="13" t="s">
        <v>143</v>
      </c>
      <c r="M38" s="2" t="e">
        <f>CONCATENATE("EXECUTE [dbo].[PG_CI_DETALLE_PUNTO_VENTA] 0,0, ",B38,", ",C38,", ",D38,",",E38,",'",F38,"','",G38,"','",H38,"',",I38,",'",J38,"',",K38,",'",L38,"','",#REF!,"','",#REF!,"'; ")</f>
        <v>#REF!</v>
      </c>
      <c r="P38" s="8">
        <v>3</v>
      </c>
    </row>
    <row r="39" spans="2:16" hidden="1" x14ac:dyDescent="0.25">
      <c r="B39" s="3">
        <v>37</v>
      </c>
      <c r="C39">
        <v>37</v>
      </c>
      <c r="D39">
        <v>0</v>
      </c>
      <c r="E39">
        <v>1346738</v>
      </c>
      <c r="F39" t="s">
        <v>125</v>
      </c>
      <c r="G39" s="12" t="s">
        <v>164</v>
      </c>
      <c r="H39" s="12" t="s">
        <v>169</v>
      </c>
      <c r="I39" s="12" t="s">
        <v>173</v>
      </c>
      <c r="J39" s="1" t="s">
        <v>202</v>
      </c>
      <c r="K39" s="13" t="s">
        <v>143</v>
      </c>
      <c r="L39" s="13" t="s">
        <v>143</v>
      </c>
      <c r="M39" s="2" t="e">
        <f>CONCATENATE("EXECUTE [dbo].[PG_CI_DETALLE_PUNTO_VENTA] 0,0, ",B39,", ",C39,", ",D39,",",E39,",'",F39,"','",G39,"','",H39,"',",I39,",'",J39,"',",K39,",'",L39,"','",#REF!,"','",#REF!,"'; ")</f>
        <v>#REF!</v>
      </c>
      <c r="P39" s="8">
        <v>3</v>
      </c>
    </row>
    <row r="40" spans="2:16" hidden="1" x14ac:dyDescent="0.25">
      <c r="B40" s="3">
        <v>38</v>
      </c>
      <c r="C40">
        <v>38</v>
      </c>
      <c r="D40">
        <v>0</v>
      </c>
      <c r="E40">
        <v>148707</v>
      </c>
      <c r="F40" t="s">
        <v>125</v>
      </c>
      <c r="G40" s="12" t="s">
        <v>125</v>
      </c>
      <c r="H40" s="12" t="s">
        <v>125</v>
      </c>
      <c r="I40" s="12" t="s">
        <v>143</v>
      </c>
      <c r="J40" s="1" t="s">
        <v>125</v>
      </c>
      <c r="K40" s="13" t="s">
        <v>143</v>
      </c>
      <c r="L40" s="13" t="s">
        <v>143</v>
      </c>
      <c r="M40" s="2" t="e">
        <f>CONCATENATE("EXECUTE [dbo].[PG_CI_DETALLE_PUNTO_VENTA] 0,0, ",B40,", ",C40,", ",D40,",",E40,",'",F40,"','",G40,"','",H40,"',",I40,",'",J40,"',",K40,",'",L40,"','",#REF!,"','",#REF!,"'; ")</f>
        <v>#REF!</v>
      </c>
      <c r="P40" s="8">
        <v>2</v>
      </c>
    </row>
    <row r="41" spans="2:16" hidden="1" x14ac:dyDescent="0.25">
      <c r="B41" s="3">
        <v>39</v>
      </c>
      <c r="C41">
        <v>39</v>
      </c>
      <c r="D41">
        <v>0</v>
      </c>
      <c r="E41">
        <v>68978</v>
      </c>
      <c r="F41" t="s">
        <v>125</v>
      </c>
      <c r="G41" s="12" t="s">
        <v>125</v>
      </c>
      <c r="H41" s="12" t="s">
        <v>125</v>
      </c>
      <c r="I41" s="12" t="s">
        <v>143</v>
      </c>
      <c r="J41" s="1" t="s">
        <v>125</v>
      </c>
      <c r="K41" s="13" t="s">
        <v>143</v>
      </c>
      <c r="L41" s="13" t="s">
        <v>143</v>
      </c>
      <c r="M41" s="2" t="e">
        <f>CONCATENATE("EXECUTE [dbo].[PG_CI_DETALLE_PUNTO_VENTA] 0,0, ",B41,", ",C41,", ",D41,",",E41,",'",F41,"','",G41,"','",H41,"',",I41,",'",J41,"',",K41,",'",L41,"','",#REF!,"','",#REF!,"'; ")</f>
        <v>#REF!</v>
      </c>
      <c r="P41" s="8">
        <v>3</v>
      </c>
    </row>
    <row r="42" spans="2:16" hidden="1" x14ac:dyDescent="0.25">
      <c r="B42" s="3">
        <v>40</v>
      </c>
      <c r="C42">
        <v>40</v>
      </c>
      <c r="D42">
        <v>0</v>
      </c>
      <c r="E42">
        <v>1869398</v>
      </c>
      <c r="F42" t="s">
        <v>136</v>
      </c>
      <c r="G42" s="12" t="s">
        <v>125</v>
      </c>
      <c r="H42" s="12" t="s">
        <v>125</v>
      </c>
      <c r="I42" s="12" t="s">
        <v>143</v>
      </c>
      <c r="J42" s="1" t="s">
        <v>125</v>
      </c>
      <c r="K42" s="13" t="s">
        <v>143</v>
      </c>
      <c r="L42" s="13" t="s">
        <v>143</v>
      </c>
      <c r="M42" s="2" t="e">
        <f>CONCATENATE("EXECUTE [dbo].[PG_CI_DETALLE_PUNTO_VENTA] 0,0, ",B42,", ",C42,", ",D42,",",E42,",'",F42,"','",G42,"','",H42,"',",I42,",'",J42,"',",K42,",'",L42,"','",#REF!,"','",#REF!,"'; ")</f>
        <v>#REF!</v>
      </c>
      <c r="P42" s="8">
        <v>3</v>
      </c>
    </row>
    <row r="43" spans="2:16" x14ac:dyDescent="0.25">
      <c r="B43" s="3">
        <v>5</v>
      </c>
      <c r="C43">
        <v>41</v>
      </c>
      <c r="D43">
        <v>0</v>
      </c>
      <c r="E43">
        <v>0</v>
      </c>
      <c r="F43" t="s">
        <v>125</v>
      </c>
      <c r="G43" s="12" t="s">
        <v>164</v>
      </c>
      <c r="H43" s="12" t="s">
        <v>165</v>
      </c>
      <c r="I43" s="12" t="s">
        <v>174</v>
      </c>
      <c r="J43" s="1" t="s">
        <v>203</v>
      </c>
      <c r="K43" s="13" t="s">
        <v>143</v>
      </c>
      <c r="L43" s="13" t="s">
        <v>143</v>
      </c>
      <c r="M43" s="2" t="str">
        <f>CONCATENATE("EXECUTE [dbo].[PG_CI_DETALLE_AUTOTANQUE] 0,0, ",B43,", ",C43,", ",D43,",",E43,",'",F43,"','",G43,"','",H43,"',",I43,",'",J43,"',",K43,",'",L43,"'; ")</f>
        <v xml:space="preserve">EXECUTE [dbo].[PG_CI_DETALLE_AUTOTANQUE] 0,0, 5, 41, 0,0,'N/D','NISSAN','2010',31741,'0144S02470505EAB',0,'0'; </v>
      </c>
      <c r="P43" s="8">
        <v>1</v>
      </c>
    </row>
    <row r="44" spans="2:16" hidden="1" x14ac:dyDescent="0.25">
      <c r="B44" s="3">
        <v>42</v>
      </c>
      <c r="C44">
        <v>42</v>
      </c>
      <c r="D44">
        <v>0</v>
      </c>
      <c r="E44">
        <v>4769680</v>
      </c>
      <c r="F44" t="s">
        <v>137</v>
      </c>
      <c r="G44" s="12" t="s">
        <v>125</v>
      </c>
      <c r="H44" s="12" t="s">
        <v>125</v>
      </c>
      <c r="I44" s="12" t="s">
        <v>143</v>
      </c>
      <c r="J44" s="1" t="s">
        <v>125</v>
      </c>
      <c r="K44" s="13" t="s">
        <v>143</v>
      </c>
      <c r="L44" s="13" t="s">
        <v>143</v>
      </c>
      <c r="M44" s="2" t="e">
        <f>CONCATENATE("EXECUTE [dbo].[PG_CI_DETALLE_PUNTO_VENTA] 0,0, ",B44,", ",C44,", ",D44,",",E44,",'",F44,"','",G44,"','",H44,"',",I44,",'",J44,"',",K44,",'",L44,"','",#REF!,"','",#REF!,"'; ")</f>
        <v>#REF!</v>
      </c>
      <c r="P44" s="8">
        <v>3</v>
      </c>
    </row>
    <row r="45" spans="2:16" hidden="1" x14ac:dyDescent="0.25">
      <c r="B45" s="3">
        <v>43</v>
      </c>
      <c r="C45">
        <v>43</v>
      </c>
      <c r="D45">
        <v>0</v>
      </c>
      <c r="E45">
        <v>436731</v>
      </c>
      <c r="F45" t="s">
        <v>125</v>
      </c>
      <c r="G45" s="12" t="s">
        <v>125</v>
      </c>
      <c r="H45" s="12" t="s">
        <v>125</v>
      </c>
      <c r="I45" s="12" t="s">
        <v>143</v>
      </c>
      <c r="J45" s="1" t="s">
        <v>125</v>
      </c>
      <c r="K45" s="13" t="s">
        <v>143</v>
      </c>
      <c r="L45" s="13" t="s">
        <v>143</v>
      </c>
      <c r="M45" s="2" t="e">
        <f>CONCATENATE("EXECUTE [dbo].[PG_CI_DETALLE_PUNTO_VENTA] 0,0, ",B45,", ",C45,", ",D45,",",E45,",'",F45,"','",G45,"','",H45,"',",I45,",'",J45,"',",K45,",'",L45,"','",#REF!,"','",#REF!,"'; ")</f>
        <v>#REF!</v>
      </c>
      <c r="P45" s="8">
        <v>2</v>
      </c>
    </row>
    <row r="46" spans="2:16" hidden="1" x14ac:dyDescent="0.25">
      <c r="B46" s="3">
        <v>44</v>
      </c>
      <c r="C46">
        <v>44</v>
      </c>
      <c r="D46">
        <v>0</v>
      </c>
      <c r="E46">
        <v>321083</v>
      </c>
      <c r="F46" t="s">
        <v>125</v>
      </c>
      <c r="G46" s="12" t="s">
        <v>168</v>
      </c>
      <c r="H46" s="12" t="s">
        <v>125</v>
      </c>
      <c r="I46" s="12" t="s">
        <v>175</v>
      </c>
      <c r="J46" s="1" t="s">
        <v>125</v>
      </c>
      <c r="K46" s="13" t="s">
        <v>143</v>
      </c>
      <c r="L46" s="13" t="s">
        <v>233</v>
      </c>
      <c r="M46" s="2" t="e">
        <f>CONCATENATE("EXECUTE [dbo].[PG_CI_DETALLE_PUNTO_VENTA] 0,0, ",B46,", ",C46,", ",D46,",",E46,",'",F46,"','",G46,"','",H46,"',",I46,",'",J46,"',",K46,",'",L46,"','",#REF!,"','",#REF!,"'; ")</f>
        <v>#REF!</v>
      </c>
      <c r="P46" s="8">
        <v>3</v>
      </c>
    </row>
    <row r="47" spans="2:16" hidden="1" x14ac:dyDescent="0.25">
      <c r="B47" s="3">
        <v>45</v>
      </c>
      <c r="C47">
        <v>45</v>
      </c>
      <c r="D47">
        <v>0</v>
      </c>
      <c r="E47">
        <v>800766</v>
      </c>
      <c r="F47" t="s">
        <v>125</v>
      </c>
      <c r="G47" s="12" t="s">
        <v>125</v>
      </c>
      <c r="H47" s="12" t="s">
        <v>125</v>
      </c>
      <c r="I47" s="12">
        <v>0</v>
      </c>
      <c r="J47" s="1" t="s">
        <v>125</v>
      </c>
      <c r="K47" s="13" t="s">
        <v>213</v>
      </c>
      <c r="L47" s="13" t="s">
        <v>234</v>
      </c>
      <c r="M47" s="2" t="e">
        <f>CONCATENATE("EXECUTE [dbo].[PG_CI_DETALLE_PUNTO_VENTA] 0,0, ",B47,", ",C47,", ",D47,",",E47,",'",F47,"','",G47,"','",H47,"',",I47,",'",J47,"',",K47,",'",L47,"','",#REF!,"','",#REF!,"'; ")</f>
        <v>#REF!</v>
      </c>
      <c r="P47" s="8">
        <v>3</v>
      </c>
    </row>
    <row r="48" spans="2:16" hidden="1" x14ac:dyDescent="0.25">
      <c r="B48" s="3">
        <v>46</v>
      </c>
      <c r="C48">
        <v>46</v>
      </c>
      <c r="D48">
        <v>0</v>
      </c>
      <c r="E48">
        <v>1</v>
      </c>
      <c r="F48" t="s">
        <v>125</v>
      </c>
      <c r="G48" s="12" t="s">
        <v>125</v>
      </c>
      <c r="H48" s="12" t="s">
        <v>125</v>
      </c>
      <c r="I48" s="12">
        <v>0</v>
      </c>
      <c r="J48" s="1" t="s">
        <v>125</v>
      </c>
      <c r="K48" s="13" t="s">
        <v>214</v>
      </c>
      <c r="L48" s="13" t="s">
        <v>234</v>
      </c>
      <c r="M48" s="2" t="e">
        <f>CONCATENATE("EXECUTE [dbo].[PG_CI_DETALLE_PUNTO_VENTA] 0,0, ",B48,", ",C48,", ",D48,",",E48,",'",F48,"','",G48,"','",H48,"',",I48,",'",J48,"',",K48,",'",L48,"','",#REF!,"','",#REF!,"'; ")</f>
        <v>#REF!</v>
      </c>
      <c r="P48" s="8">
        <v>3</v>
      </c>
    </row>
    <row r="49" spans="2:16" hidden="1" x14ac:dyDescent="0.25">
      <c r="B49" s="3">
        <v>47</v>
      </c>
      <c r="C49">
        <v>47</v>
      </c>
      <c r="D49">
        <v>0</v>
      </c>
      <c r="E49">
        <v>662985</v>
      </c>
      <c r="F49" t="s">
        <v>125</v>
      </c>
      <c r="G49" s="12" t="s">
        <v>176</v>
      </c>
      <c r="H49" s="12" t="s">
        <v>177</v>
      </c>
      <c r="I49" s="12" t="s">
        <v>178</v>
      </c>
      <c r="J49" s="1" t="s">
        <v>204</v>
      </c>
      <c r="K49" s="13" t="s">
        <v>215</v>
      </c>
      <c r="L49" s="13" t="s">
        <v>235</v>
      </c>
      <c r="M49" s="2" t="e">
        <f>CONCATENATE("EXECUTE [dbo].[PG_CI_DETALLE_PUNTO_VENTA] 0,0, ",B49,", ",C49,", ",D49,",",E49,",'",F49,"','",G49,"','",H49,"',",I49,",'",J49,"',",K49,",'",L49,"','",#REF!,"','",#REF!,"'; ")</f>
        <v>#REF!</v>
      </c>
      <c r="P49" s="8">
        <v>3</v>
      </c>
    </row>
    <row r="50" spans="2:16" hidden="1" x14ac:dyDescent="0.25">
      <c r="B50" s="3">
        <v>48</v>
      </c>
      <c r="C50">
        <v>48</v>
      </c>
      <c r="D50">
        <v>0</v>
      </c>
      <c r="E50">
        <v>2042134</v>
      </c>
      <c r="F50" t="s">
        <v>125</v>
      </c>
      <c r="G50" s="12" t="s">
        <v>125</v>
      </c>
      <c r="H50" s="12" t="s">
        <v>125</v>
      </c>
      <c r="I50" s="12" t="s">
        <v>143</v>
      </c>
      <c r="J50" s="1" t="s">
        <v>125</v>
      </c>
      <c r="K50" s="13" t="s">
        <v>205</v>
      </c>
      <c r="L50" s="13" t="s">
        <v>233</v>
      </c>
      <c r="M50" s="2" t="e">
        <f>CONCATENATE("EXECUTE [dbo].[PG_CI_DETALLE_PUNTO_VENTA] 0,0, ",B50,", ",C50,", ",D50,",",E50,",'",F50,"','",G50,"','",H50,"',",I50,",'",J50,"',",K50,",'",L50,"','",#REF!,"','",#REF!,"'; ")</f>
        <v>#REF!</v>
      </c>
      <c r="P50" s="8">
        <v>2</v>
      </c>
    </row>
    <row r="51" spans="2:16" hidden="1" x14ac:dyDescent="0.25">
      <c r="B51" s="3">
        <v>49</v>
      </c>
      <c r="C51">
        <v>49</v>
      </c>
      <c r="D51">
        <v>0</v>
      </c>
      <c r="E51">
        <v>497576</v>
      </c>
      <c r="F51" t="s">
        <v>125</v>
      </c>
      <c r="G51" s="12" t="s">
        <v>125</v>
      </c>
      <c r="H51" s="12" t="s">
        <v>125</v>
      </c>
      <c r="I51" s="12" t="s">
        <v>143</v>
      </c>
      <c r="J51" s="1" t="s">
        <v>125</v>
      </c>
      <c r="K51" s="13" t="s">
        <v>214</v>
      </c>
      <c r="L51" s="13" t="s">
        <v>236</v>
      </c>
      <c r="M51" s="2" t="e">
        <f>CONCATENATE("EXECUTE [dbo].[PG_CI_DETALLE_PUNTO_VENTA] 0,0, ",B51,", ",C51,", ",D51,",",E51,",'",F51,"','",G51,"','",H51,"',",I51,",'",J51,"',",K51,",'",L51,"','",#REF!,"','",#REF!,"'; ")</f>
        <v>#REF!</v>
      </c>
    </row>
    <row r="52" spans="2:16" hidden="1" x14ac:dyDescent="0.25">
      <c r="B52" s="3">
        <v>50</v>
      </c>
      <c r="C52">
        <v>50</v>
      </c>
      <c r="D52">
        <v>0</v>
      </c>
      <c r="E52">
        <v>0</v>
      </c>
      <c r="F52" t="s">
        <v>125</v>
      </c>
      <c r="G52" s="12" t="s">
        <v>125</v>
      </c>
      <c r="H52" s="12" t="s">
        <v>125</v>
      </c>
      <c r="I52" s="12" t="s">
        <v>143</v>
      </c>
      <c r="J52" s="1" t="s">
        <v>125</v>
      </c>
      <c r="K52" s="13" t="s">
        <v>205</v>
      </c>
      <c r="L52" s="13" t="s">
        <v>236</v>
      </c>
      <c r="M52" s="2" t="e">
        <f>CONCATENATE("EXECUTE [dbo].[PG_CI_DETALLE_PUNTO_VENTA] 0,0, ",B52,", ",C52,", ",D52,",",E52,",'",F52,"','",G52,"','",H52,"',",I52,",'",J52,"',",K52,",'",L52,"','",#REF!,"','",#REF!,"'; ")</f>
        <v>#REF!</v>
      </c>
    </row>
    <row r="53" spans="2:16" hidden="1" x14ac:dyDescent="0.25">
      <c r="K53" s="13" t="s">
        <v>205</v>
      </c>
      <c r="L53" s="1" t="s">
        <v>236</v>
      </c>
      <c r="M53" s="2" t="e">
        <f>CONCATENATE("EXECUTE [dbo].[PG_CI_DETALLE_PUNTO_VENTA] 0,0, ",B53,", ",C53,", ",D53,",",E53,",'",F53,"','",G53,"','",H53,"',",I53,",'",J53,"',",K53,",'",L53,"','",#REF!,"','",#REF!,"'; ")</f>
        <v>#REF!</v>
      </c>
    </row>
  </sheetData>
  <autoFilter ref="P2:P53">
    <filterColumn colId="0">
      <filters>
        <filter val="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9">
        <v>41207.688564814816</v>
      </c>
      <c r="P1" t="s">
        <v>10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9">
        <v>41207.688564814816</v>
      </c>
      <c r="P2" t="s">
        <v>10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9">
        <v>41207.688564814816</v>
      </c>
      <c r="P3" t="s">
        <v>10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9">
        <v>41207.688564814816</v>
      </c>
      <c r="P4" t="s">
        <v>10</v>
      </c>
    </row>
    <row r="5" spans="1:16" x14ac:dyDescent="0.2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9">
        <v>41207.688564814816</v>
      </c>
      <c r="P5" t="s">
        <v>10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9">
        <v>41207.688564814816</v>
      </c>
      <c r="P6" t="s">
        <v>10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9">
        <v>41207.688564814816</v>
      </c>
      <c r="P7" t="s">
        <v>10</v>
      </c>
    </row>
    <row r="8" spans="1:16" x14ac:dyDescent="0.2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9">
        <v>41207.688564814816</v>
      </c>
      <c r="P8" t="s">
        <v>10</v>
      </c>
    </row>
    <row r="9" spans="1:16" x14ac:dyDescent="0.2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9">
        <v>41207.688564814816</v>
      </c>
      <c r="P9" t="s">
        <v>10</v>
      </c>
    </row>
    <row r="10" spans="1:16" x14ac:dyDescent="0.2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9">
        <v>41207.688564814816</v>
      </c>
      <c r="P10" t="s">
        <v>10</v>
      </c>
    </row>
    <row r="11" spans="1:16" x14ac:dyDescent="0.2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9">
        <v>41207.688564814816</v>
      </c>
      <c r="P11" t="s">
        <v>10</v>
      </c>
    </row>
    <row r="12" spans="1:16" x14ac:dyDescent="0.2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9">
        <v>41207.688564814816</v>
      </c>
      <c r="P12" t="s">
        <v>10</v>
      </c>
    </row>
    <row r="13" spans="1:16" x14ac:dyDescent="0.2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9">
        <v>41207.688564814816</v>
      </c>
      <c r="P13" t="s">
        <v>10</v>
      </c>
    </row>
    <row r="14" spans="1:16" x14ac:dyDescent="0.2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9">
        <v>41207.688564814816</v>
      </c>
      <c r="P14" t="s">
        <v>10</v>
      </c>
    </row>
    <row r="15" spans="1:16" x14ac:dyDescent="0.2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9">
        <v>41207.688564814816</v>
      </c>
      <c r="P15" t="s">
        <v>10</v>
      </c>
    </row>
    <row r="16" spans="1:16" x14ac:dyDescent="0.2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9">
        <v>41207.688564814816</v>
      </c>
      <c r="P16" t="s">
        <v>10</v>
      </c>
    </row>
    <row r="17" spans="1:16" x14ac:dyDescent="0.2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9">
        <v>41207.688564814816</v>
      </c>
      <c r="P17" t="s">
        <v>10</v>
      </c>
    </row>
    <row r="18" spans="1:16" x14ac:dyDescent="0.2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9">
        <v>41207.688564814816</v>
      </c>
      <c r="P18" t="s">
        <v>10</v>
      </c>
    </row>
    <row r="19" spans="1:16" x14ac:dyDescent="0.2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9">
        <v>41207.688564814816</v>
      </c>
      <c r="P19" t="s">
        <v>10</v>
      </c>
    </row>
    <row r="20" spans="1:16" x14ac:dyDescent="0.2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9">
        <v>41207.688564814816</v>
      </c>
      <c r="P20" t="s">
        <v>10</v>
      </c>
    </row>
    <row r="21" spans="1:16" x14ac:dyDescent="0.2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9">
        <v>41207.688564814816</v>
      </c>
      <c r="P21" t="s">
        <v>10</v>
      </c>
    </row>
    <row r="22" spans="1:16" x14ac:dyDescent="0.2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9">
        <v>41207.688564814816</v>
      </c>
      <c r="P22" t="s">
        <v>10</v>
      </c>
    </row>
    <row r="23" spans="1:16" x14ac:dyDescent="0.2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9">
        <v>41207.688564814816</v>
      </c>
      <c r="P23" t="s">
        <v>10</v>
      </c>
    </row>
    <row r="24" spans="1:16" x14ac:dyDescent="0.2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9">
        <v>41207.688564814816</v>
      </c>
      <c r="P24" t="s">
        <v>10</v>
      </c>
    </row>
    <row r="25" spans="1:16" x14ac:dyDescent="0.2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9">
        <v>41207.688564814816</v>
      </c>
      <c r="P25" t="s">
        <v>10</v>
      </c>
    </row>
    <row r="26" spans="1:16" x14ac:dyDescent="0.2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9">
        <v>41207.688564814816</v>
      </c>
      <c r="P26" t="s">
        <v>10</v>
      </c>
    </row>
    <row r="27" spans="1:16" x14ac:dyDescent="0.2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9">
        <v>41207.688564814816</v>
      </c>
      <c r="P27" t="s">
        <v>10</v>
      </c>
    </row>
    <row r="28" spans="1:16" x14ac:dyDescent="0.2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9">
        <v>41207.688564814816</v>
      </c>
      <c r="P28" t="s">
        <v>10</v>
      </c>
    </row>
    <row r="29" spans="1:16" x14ac:dyDescent="0.2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9">
        <v>41207.688564814816</v>
      </c>
      <c r="P29" t="s">
        <v>10</v>
      </c>
    </row>
    <row r="30" spans="1:16" x14ac:dyDescent="0.2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9">
        <v>41207.688564814816</v>
      </c>
      <c r="P30" t="s">
        <v>10</v>
      </c>
    </row>
    <row r="31" spans="1:16" x14ac:dyDescent="0.2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9">
        <v>41207.688564814816</v>
      </c>
      <c r="P31" t="s">
        <v>10</v>
      </c>
    </row>
    <row r="32" spans="1:16" x14ac:dyDescent="0.2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9">
        <v>41207.688564814816</v>
      </c>
      <c r="P32" t="s">
        <v>10</v>
      </c>
    </row>
    <row r="33" spans="1:16" x14ac:dyDescent="0.2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9">
        <v>41207.688564814816</v>
      </c>
      <c r="P33" t="s">
        <v>10</v>
      </c>
    </row>
    <row r="34" spans="1:16" x14ac:dyDescent="0.2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9">
        <v>41207.688564814816</v>
      </c>
      <c r="P34" t="s">
        <v>10</v>
      </c>
    </row>
    <row r="35" spans="1:16" x14ac:dyDescent="0.2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9">
        <v>41207.688564814816</v>
      </c>
      <c r="P35" t="s">
        <v>10</v>
      </c>
    </row>
    <row r="36" spans="1:16" x14ac:dyDescent="0.2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9">
        <v>41207.688564814816</v>
      </c>
      <c r="P36" t="s">
        <v>10</v>
      </c>
    </row>
    <row r="37" spans="1:16" x14ac:dyDescent="0.2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9">
        <v>41207.688564814816</v>
      </c>
      <c r="P37" t="s">
        <v>10</v>
      </c>
    </row>
    <row r="38" spans="1:16" x14ac:dyDescent="0.2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9">
        <v>41207.688564814816</v>
      </c>
      <c r="P38" t="s">
        <v>10</v>
      </c>
    </row>
    <row r="39" spans="1:16" x14ac:dyDescent="0.2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9">
        <v>41207.688564814816</v>
      </c>
      <c r="P39" t="s">
        <v>10</v>
      </c>
    </row>
    <row r="40" spans="1:16" x14ac:dyDescent="0.2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9">
        <v>41207.688564814816</v>
      </c>
      <c r="P40" t="s">
        <v>10</v>
      </c>
    </row>
    <row r="41" spans="1:16" x14ac:dyDescent="0.2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9">
        <v>41207.688564814816</v>
      </c>
      <c r="P41" t="s">
        <v>10</v>
      </c>
    </row>
    <row r="42" spans="1:16" x14ac:dyDescent="0.2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9">
        <v>41207.688564814816</v>
      </c>
      <c r="P42" t="s">
        <v>10</v>
      </c>
    </row>
    <row r="43" spans="1:16" x14ac:dyDescent="0.2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9">
        <v>41207.688564814816</v>
      </c>
      <c r="P43" t="s">
        <v>10</v>
      </c>
    </row>
    <row r="44" spans="1:16" x14ac:dyDescent="0.2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9">
        <v>41207.688564814816</v>
      </c>
      <c r="P44" t="s">
        <v>10</v>
      </c>
    </row>
    <row r="45" spans="1:16" x14ac:dyDescent="0.2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9">
        <v>41207.688564814816</v>
      </c>
      <c r="P45" t="s">
        <v>10</v>
      </c>
    </row>
    <row r="46" spans="1:16" x14ac:dyDescent="0.2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9">
        <v>41207.688564814816</v>
      </c>
      <c r="P46" t="s">
        <v>10</v>
      </c>
    </row>
    <row r="47" spans="1:16" x14ac:dyDescent="0.2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9">
        <v>41207.688564814816</v>
      </c>
      <c r="P47" t="s">
        <v>10</v>
      </c>
    </row>
    <row r="48" spans="1:16" x14ac:dyDescent="0.2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9">
        <v>41207.688564814816</v>
      </c>
      <c r="P48" t="s">
        <v>10</v>
      </c>
    </row>
    <row r="49" spans="1:16" x14ac:dyDescent="0.2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9">
        <v>41207.688564814816</v>
      </c>
      <c r="P49" t="s">
        <v>10</v>
      </c>
    </row>
    <row r="50" spans="1:16" x14ac:dyDescent="0.2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9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2019-03-21T17:39:18Z</dcterms:modified>
</cp:coreProperties>
</file>