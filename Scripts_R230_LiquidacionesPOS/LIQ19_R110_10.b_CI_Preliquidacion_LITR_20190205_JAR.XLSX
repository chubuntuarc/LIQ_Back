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1" l="1"/>
  <c r="K3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D9" i="1" l="1"/>
  <c r="D35" i="1" l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<sst xmlns="http://schemas.openxmlformats.org/spreadsheetml/2006/main" count="541" uniqueCount="119">
  <si>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</si>
  <si>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</si>
  <si>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</si>
  <si>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</si>
  <si>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</si>
  <si>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</si>
  <si>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</si>
  <si>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</si>
  <si>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</si>
  <si>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</si>
  <si>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</si>
  <si>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</si>
  <si>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</si>
  <si>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</si>
  <si>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</si>
  <si>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</si>
  <si>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</si>
  <si>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</si>
  <si>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</si>
  <si>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</si>
  <si>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</si>
  <si>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</si>
  <si>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</si>
  <si>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</si>
  <si>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</si>
  <si>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</si>
  <si>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</si>
  <si>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</si>
  <si>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</si>
  <si>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</si>
  <si>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</si>
  <si>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</si>
  <si>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</si>
  <si>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</si>
  <si>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</si>
  <si>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</si>
  <si>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</si>
  <si>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</si>
  <si>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</si>
  <si>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</si>
  <si>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</si>
  <si>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</si>
  <si>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</si>
  <si>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</si>
  <si>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</si>
  <si>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</si>
  <si>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</si>
  <si>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</si>
  <si>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</si>
  <si>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</si>
  <si>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</si>
  <si>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</si>
  <si>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</si>
  <si>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</si>
  <si>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</si>
  <si>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</si>
  <si>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</si>
  <si>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</si>
  <si>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</si>
  <si>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</si>
  <si>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</si>
  <si>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</si>
  <si>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</si>
  <si>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</si>
  <si>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</si>
  <si>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</si>
  <si>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</si>
  <si>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</si>
  <si>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</si>
  <si>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</si>
  <si>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</si>
  <si>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</si>
  <si>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</si>
  <si>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</si>
  <si>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</si>
  <si>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</si>
  <si>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</si>
  <si>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</si>
  <si>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</si>
  <si>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</si>
  <si>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</si>
  <si>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</si>
  <si>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</si>
  <si>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</si>
  <si>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</si>
  <si>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</si>
  <si>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</si>
  <si>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</si>
  <si>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</si>
  <si>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</si>
  <si>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</si>
  <si>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</si>
  <si>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</si>
  <si>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</si>
  <si>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</si>
  <si>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</si>
  <si>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</si>
  <si>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</si>
  <si>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</si>
  <si>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</si>
  <si>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</si>
  <si>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</si>
  <si>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</si>
  <si>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</si>
  <si>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</si>
  <si>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</si>
  <si>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</si>
  <si>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</si>
  <si>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</si>
  <si>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</si>
  <si>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K_PRELIQUIDACION</t>
  </si>
  <si>
    <t>D_PRELIQUIDACION</t>
  </si>
  <si>
    <t>S_PRELIQUIDACION</t>
  </si>
  <si>
    <t>O_PRELIQUIDACION</t>
  </si>
  <si>
    <t>L_PRELIQUIDACION</t>
  </si>
  <si>
    <t>K_TIPO_PRELIQUIDACION</t>
  </si>
  <si>
    <t>K_ESTATUS_PRELIQUIDACION</t>
  </si>
  <si>
    <t>F_PRELIQUIDACION</t>
  </si>
  <si>
    <t>c129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</si>
</sst>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0" fontId="0" fillId="0" borderId="0" xfId="0" quotePrefix="1" applyNumberForma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1"/>
  <sheetViews>
    <sheetView showGridLines="0" tabSelected="1" zoomScale="110" zoomScaleNormal="110" workbookViewId="0">
      <pane xSplit="2" ySplit="2" topLeftCell="G18" activePane="bottomRight" state="frozen"/>
      <selection pane="topRight" activeCell="C1" sqref="C1"/>
      <selection pane="bottomLeft" activeCell="A3" sqref="A3"/>
      <selection pane="bottomRight" activeCell="K42" sqref="K42"/>
    </sheetView>
  </sheetViews>
  <sheetFormatPr baseColWidth="10" defaultRowHeight="15" x14ac:dyDescent="0.25"/>
  <cols>
    <col min="1" max="1" width="5.140625" customWidth="1"/>
    <col min="2" max="2" width="17" style="3" bestFit="1" customWidth="1"/>
    <col min="3" max="3" width="17" bestFit="1" customWidth="1"/>
    <col min="4" max="4" width="16.85546875" bestFit="1" customWidth="1"/>
    <col min="5" max="5" width="17.140625" style="12" bestFit="1" customWidth="1"/>
    <col min="6" max="6" width="16.7109375" style="13" bestFit="1" customWidth="1"/>
    <col min="7" max="7" width="21" style="13" bestFit="1" customWidth="1"/>
    <col min="8" max="8" width="21.85546875" style="1" bestFit="1" customWidth="1"/>
    <col min="9" max="9" width="25.140625" style="1" bestFit="1" customWidth="1"/>
    <col min="10" max="10" width="15" style="1" bestFit="1" customWidth="1"/>
    <col min="11" max="11" width="122.140625" bestFit="1" customWidth="1"/>
    <col min="13" max="13" width="28.5703125" bestFit="1" customWidth="1"/>
    <col min="14" max="14" width="12" bestFit="1" customWidth="1"/>
    <col min="15" max="15" width="31.85546875" customWidth="1"/>
    <col min="16" max="16" width="13.85546875" bestFit="1" customWidth="1"/>
  </cols>
  <sheetData>
    <row r="2" spans="2:18" s="4" customFormat="1" x14ac:dyDescent="0.25">
      <c r="B2" s="3" t="s">
        <v>110</v>
      </c>
      <c r="C2" s="4" t="s">
        <v>111</v>
      </c>
      <c r="D2" s="4" t="s">
        <v>112</v>
      </c>
      <c r="E2" s="10" t="s">
        <v>113</v>
      </c>
      <c r="F2" s="11" t="s">
        <v>114</v>
      </c>
      <c r="G2" s="11" t="s">
        <v>117</v>
      </c>
      <c r="H2" s="5" t="s">
        <v>115</v>
      </c>
      <c r="I2" s="5" t="s">
        <v>116</v>
      </c>
      <c r="J2" s="5" t="s">
        <v>0</v>
      </c>
      <c r="R2" s="2"/>
    </row>
    <row r="3" spans="2:18" x14ac:dyDescent="0.25">
      <c r="B3" s="3">
        <v>1</v>
      </c>
      <c r="C3" t="s">
        <v>61</v>
      </c>
      <c r="D3" t="str">
        <f>LEFT(C3,3)</f>
        <v>BG3</v>
      </c>
      <c r="E3" s="12">
        <v>0</v>
      </c>
      <c r="F3" s="12">
        <v>0</v>
      </c>
      <c r="G3" s="15">
        <v>43141</v>
      </c>
      <c r="H3" s="16">
        <v>1</v>
      </c>
      <c r="I3" s="8">
        <v>0</v>
      </c>
      <c r="J3" s="8">
        <v>1</v>
      </c>
      <c r="K3" s="2" t="str">
        <f>CONCATENATE("EXECUTE [dbo].[PG_CI_PRELIQUIDACION] 0,0,",B3,",'",C3,"','",D3,"','",E3,"',",F3,",'",TEXT(G4,"AAAA-MM-DD"),"',",H3,",",I3,",",J3,"; ")</f>
        <v xml:space="preserve">EXECUTE [dbo].[PG_CI_PRELIQUIDACION] 0,0,1,'BG31','BG3','0',0,'2018-02-12',1,0,1; </v>
      </c>
      <c r="O3" s="6"/>
    </row>
    <row r="4" spans="2:18" x14ac:dyDescent="0.25">
      <c r="B4" s="3">
        <v>2</v>
      </c>
      <c r="C4" t="s">
        <v>61</v>
      </c>
      <c r="D4" t="str">
        <f t="shared" ref="D4:D7" si="0">LEFT(C4,3)</f>
        <v>BG3</v>
      </c>
      <c r="E4" s="12">
        <v>0</v>
      </c>
      <c r="F4" s="12">
        <v>0</v>
      </c>
      <c r="G4" s="15">
        <v>43143</v>
      </c>
      <c r="H4" s="16">
        <v>2</v>
      </c>
      <c r="I4" s="8">
        <v>1</v>
      </c>
      <c r="J4" s="8">
        <v>1</v>
      </c>
      <c r="K4" s="2" t="str">
        <f t="shared" ref="K4:K35" si="1">CONCATENATE("EXECUTE [dbo].[PG_CI_PRELIQUIDACION] 0,0,",B4,",'",C4,"','",D4,"','",E4,"',",F4,",'",TEXT(G5,"AAAA-MM-DD"),"',",H4,",",I4,",",J4,"; ")</f>
        <v xml:space="preserve">EXECUTE [dbo].[PG_CI_PRELIQUIDACION] 0,0,2,'BG31','BG3','0',0,'2018-02-13',2,1,1; </v>
      </c>
      <c r="O4" s="7"/>
    </row>
    <row r="5" spans="2:18" x14ac:dyDescent="0.25">
      <c r="B5" s="3">
        <v>3</v>
      </c>
      <c r="C5" t="s">
        <v>59</v>
      </c>
      <c r="D5" t="str">
        <f t="shared" si="0"/>
        <v>BG3</v>
      </c>
      <c r="E5" s="12">
        <v>0</v>
      </c>
      <c r="F5" s="12">
        <v>0</v>
      </c>
      <c r="G5" s="15">
        <v>43144</v>
      </c>
      <c r="H5" s="16">
        <v>1</v>
      </c>
      <c r="I5" s="8">
        <v>0</v>
      </c>
      <c r="J5" s="8">
        <v>2</v>
      </c>
      <c r="K5" s="2" t="str">
        <f t="shared" si="1"/>
        <v xml:space="preserve">EXECUTE [dbo].[PG_CI_PRELIQUIDACION] 0,0,3,'BG30','BG3','0',0,'2018-02-14',1,0,2; </v>
      </c>
    </row>
    <row r="6" spans="2:18" x14ac:dyDescent="0.25">
      <c r="B6" s="3">
        <v>4</v>
      </c>
      <c r="C6" t="s">
        <v>59</v>
      </c>
      <c r="D6" t="str">
        <f t="shared" si="0"/>
        <v>BG3</v>
      </c>
      <c r="E6" s="12">
        <v>0</v>
      </c>
      <c r="F6" s="12">
        <v>0</v>
      </c>
      <c r="G6" s="15">
        <v>43145</v>
      </c>
      <c r="H6" s="16">
        <v>2</v>
      </c>
      <c r="I6" s="8">
        <v>1</v>
      </c>
      <c r="J6" s="8">
        <v>2</v>
      </c>
      <c r="K6" s="2" t="str">
        <f t="shared" si="1"/>
        <v xml:space="preserve">EXECUTE [dbo].[PG_CI_PRELIQUIDACION] 0,0,4,'BG30','BG3','0',0,'2018-02-15',2,1,2; </v>
      </c>
    </row>
    <row r="7" spans="2:18" x14ac:dyDescent="0.25">
      <c r="B7" s="3">
        <v>5</v>
      </c>
      <c r="C7" t="s">
        <v>6</v>
      </c>
      <c r="D7" t="str">
        <f t="shared" si="0"/>
        <v>BE2</v>
      </c>
      <c r="E7" s="12">
        <v>0</v>
      </c>
      <c r="F7" s="12">
        <v>0</v>
      </c>
      <c r="G7" s="15">
        <v>43146</v>
      </c>
      <c r="H7" s="16">
        <v>1</v>
      </c>
      <c r="I7" s="8">
        <v>0</v>
      </c>
      <c r="J7" s="17">
        <v>3</v>
      </c>
      <c r="K7" s="2" t="str">
        <f t="shared" si="1"/>
        <v xml:space="preserve">EXECUTE [dbo].[PG_CI_PRELIQUIDACION] 0,0,5,'BE201','BE2','0',0,'2018-02-17',1,0,3; </v>
      </c>
    </row>
    <row r="8" spans="2:18" x14ac:dyDescent="0.25">
      <c r="B8" s="3">
        <v>6</v>
      </c>
      <c r="C8" t="s">
        <v>6</v>
      </c>
      <c r="D8" t="str">
        <f t="shared" ref="D8:D9" si="2">LEFT(C8,3)</f>
        <v>BE2</v>
      </c>
      <c r="E8" s="12">
        <v>0</v>
      </c>
      <c r="F8" s="12">
        <v>0</v>
      </c>
      <c r="G8" s="15">
        <v>43148</v>
      </c>
      <c r="H8" s="16">
        <v>2</v>
      </c>
      <c r="I8" s="8">
        <v>0</v>
      </c>
      <c r="J8" s="17">
        <v>3</v>
      </c>
      <c r="K8" s="2" t="str">
        <f t="shared" si="1"/>
        <v xml:space="preserve">EXECUTE [dbo].[PG_CI_PRELIQUIDACION] 0,0,6,'BE201','BE2','0',0,'2018-02-05',2,0,3; </v>
      </c>
    </row>
    <row r="9" spans="2:18" x14ac:dyDescent="0.25">
      <c r="B9" s="3">
        <v>7</v>
      </c>
      <c r="C9" t="s">
        <v>27</v>
      </c>
      <c r="D9" t="str">
        <f t="shared" si="2"/>
        <v>BE0</v>
      </c>
      <c r="E9" s="12">
        <v>0</v>
      </c>
      <c r="F9" s="12">
        <v>0</v>
      </c>
      <c r="G9" s="15">
        <v>43136</v>
      </c>
      <c r="H9" s="16">
        <v>1</v>
      </c>
      <c r="I9" s="8">
        <v>1</v>
      </c>
      <c r="J9" s="17">
        <v>4</v>
      </c>
      <c r="K9" s="2" t="str">
        <f t="shared" si="1"/>
        <v xml:space="preserve">EXECUTE [dbo].[PG_CI_PRELIQUIDACION] 0,0,7,'BE05','BE0','0',0,'2018-02-07',1,1,4; </v>
      </c>
      <c r="O9" s="14"/>
    </row>
    <row r="10" spans="2:18" x14ac:dyDescent="0.25">
      <c r="B10" s="3">
        <v>8</v>
      </c>
      <c r="C10" t="s">
        <v>27</v>
      </c>
      <c r="D10" t="str">
        <f>LEFT(C10,3)</f>
        <v>BE0</v>
      </c>
      <c r="E10" s="12">
        <v>0</v>
      </c>
      <c r="F10" s="12">
        <v>0</v>
      </c>
      <c r="G10" s="15">
        <v>43138</v>
      </c>
      <c r="H10" s="16">
        <v>2</v>
      </c>
      <c r="I10" s="8">
        <v>0</v>
      </c>
      <c r="J10" s="17">
        <v>4</v>
      </c>
      <c r="K10" s="2" t="str">
        <f t="shared" si="1"/>
        <v xml:space="preserve">EXECUTE [dbo].[PG_CI_PRELIQUIDACION] 0,0,8,'BE05','BE0','0',0,'2018-02-09',2,0,4; </v>
      </c>
    </row>
    <row r="11" spans="2:18" x14ac:dyDescent="0.25">
      <c r="B11" s="3">
        <v>9</v>
      </c>
      <c r="C11" t="s">
        <v>39</v>
      </c>
      <c r="D11" t="str">
        <f t="shared" ref="D11:D14" si="3">LEFT(C11,3)</f>
        <v>BG1</v>
      </c>
      <c r="E11" s="12">
        <v>0</v>
      </c>
      <c r="F11" s="12">
        <v>1</v>
      </c>
      <c r="G11" s="15">
        <v>43140</v>
      </c>
      <c r="H11" s="16">
        <v>1</v>
      </c>
      <c r="I11" s="8">
        <v>0</v>
      </c>
      <c r="J11" s="17">
        <v>5</v>
      </c>
      <c r="K11" s="2" t="str">
        <f t="shared" si="1"/>
        <v xml:space="preserve">EXECUTE [dbo].[PG_CI_PRELIQUIDACION] 0,0,9,'BG10','BG1','0',1,'2018-02-10',1,0,5; </v>
      </c>
    </row>
    <row r="12" spans="2:18" x14ac:dyDescent="0.25">
      <c r="B12" s="3">
        <v>10</v>
      </c>
      <c r="C12" t="s">
        <v>39</v>
      </c>
      <c r="D12" t="str">
        <f t="shared" si="3"/>
        <v>BG1</v>
      </c>
      <c r="E12" s="12">
        <v>0</v>
      </c>
      <c r="F12" s="12">
        <v>1</v>
      </c>
      <c r="G12" s="15">
        <v>43141</v>
      </c>
      <c r="H12" s="16">
        <v>2</v>
      </c>
      <c r="I12" s="8">
        <v>1</v>
      </c>
      <c r="J12" s="17">
        <v>5</v>
      </c>
      <c r="K12" s="2" t="str">
        <f t="shared" si="1"/>
        <v xml:space="preserve">EXECUTE [dbo].[PG_CI_PRELIQUIDACION] 0,0,10,'BG10','BG1','0',1,'2018-02-11',2,1,5; </v>
      </c>
    </row>
    <row r="13" spans="2:18" x14ac:dyDescent="0.25">
      <c r="B13" s="3">
        <v>11</v>
      </c>
      <c r="C13" t="s">
        <v>49</v>
      </c>
      <c r="D13" t="str">
        <f t="shared" si="3"/>
        <v>BG2</v>
      </c>
      <c r="E13" s="12">
        <v>0</v>
      </c>
      <c r="F13" s="12">
        <v>1</v>
      </c>
      <c r="G13" s="15">
        <v>43142</v>
      </c>
      <c r="H13" s="16">
        <v>1</v>
      </c>
      <c r="I13" s="8">
        <v>0</v>
      </c>
      <c r="J13" s="17">
        <v>6</v>
      </c>
      <c r="K13" s="2" t="str">
        <f t="shared" si="1"/>
        <v xml:space="preserve">EXECUTE [dbo].[PG_CI_PRELIQUIDACION] 0,0,11,'BG20','BG2','0',1,'2018-02-12',1,0,6; </v>
      </c>
    </row>
    <row r="14" spans="2:18" x14ac:dyDescent="0.25">
      <c r="B14" s="3">
        <v>12</v>
      </c>
      <c r="C14" t="s">
        <v>49</v>
      </c>
      <c r="D14" t="str">
        <f t="shared" si="3"/>
        <v>BG2</v>
      </c>
      <c r="E14" s="12">
        <v>0</v>
      </c>
      <c r="F14" s="12">
        <v>1</v>
      </c>
      <c r="G14" s="15">
        <v>43143</v>
      </c>
      <c r="H14" s="16">
        <v>2</v>
      </c>
      <c r="I14" s="8">
        <v>1</v>
      </c>
      <c r="J14" s="17">
        <v>6</v>
      </c>
      <c r="K14" s="2" t="str">
        <f t="shared" si="1"/>
        <v xml:space="preserve">EXECUTE [dbo].[PG_CI_PRELIQUIDACION] 0,0,12,'BG20','BG2','0',1,'2018-03-10',2,1,6; </v>
      </c>
    </row>
    <row r="15" spans="2:18" x14ac:dyDescent="0.25">
      <c r="B15" s="3">
        <v>13</v>
      </c>
      <c r="C15" t="s">
        <v>41</v>
      </c>
      <c r="D15" t="str">
        <f t="shared" ref="D15:D16" si="4">LEFT(C15,3)</f>
        <v>BG1</v>
      </c>
      <c r="E15" s="12">
        <v>0</v>
      </c>
      <c r="F15" s="12">
        <v>1</v>
      </c>
      <c r="G15" s="15">
        <v>43169</v>
      </c>
      <c r="H15" s="16">
        <v>1</v>
      </c>
      <c r="I15" s="8">
        <v>0</v>
      </c>
      <c r="J15" s="17">
        <v>7</v>
      </c>
      <c r="K15" s="2" t="str">
        <f t="shared" si="1"/>
        <v xml:space="preserve">EXECUTE [dbo].[PG_CI_PRELIQUIDACION] 0,0,13,'BG11','BG1','0',1,'2018-03-11',1,0,7; </v>
      </c>
    </row>
    <row r="16" spans="2:18" x14ac:dyDescent="0.25">
      <c r="B16" s="3">
        <v>14</v>
      </c>
      <c r="C16" t="s">
        <v>41</v>
      </c>
      <c r="D16" t="str">
        <f t="shared" si="4"/>
        <v>BG1</v>
      </c>
      <c r="E16" s="12">
        <v>0</v>
      </c>
      <c r="F16" s="12">
        <v>1</v>
      </c>
      <c r="G16" s="15">
        <v>43170</v>
      </c>
      <c r="H16" s="16">
        <v>2</v>
      </c>
      <c r="I16" s="8">
        <v>1</v>
      </c>
      <c r="J16" s="17">
        <v>7</v>
      </c>
      <c r="K16" s="2" t="str">
        <f t="shared" si="1"/>
        <v xml:space="preserve">EXECUTE [dbo].[PG_CI_PRELIQUIDACION] 0,0,14,'BG11','BG1','0',1,'2018-03-13',2,1,7; </v>
      </c>
    </row>
    <row r="17" spans="2:11" x14ac:dyDescent="0.25">
      <c r="B17" s="3">
        <v>15</v>
      </c>
      <c r="C17" t="s">
        <v>37</v>
      </c>
      <c r="D17" t="str">
        <f>LEFT(C17,3)</f>
        <v>BG0</v>
      </c>
      <c r="E17" s="12">
        <v>0</v>
      </c>
      <c r="F17" s="12">
        <v>1</v>
      </c>
      <c r="G17" s="15">
        <v>43172</v>
      </c>
      <c r="H17" s="16">
        <v>1</v>
      </c>
      <c r="I17" s="8">
        <v>0</v>
      </c>
      <c r="J17" s="17">
        <v>8</v>
      </c>
      <c r="K17" s="2" t="str">
        <f t="shared" si="1"/>
        <v xml:space="preserve">EXECUTE [dbo].[PG_CI_PRELIQUIDACION] 0,0,15,'BG09','BG0','0',1,'2018-03-15',1,0,8; </v>
      </c>
    </row>
    <row r="18" spans="2:11" x14ac:dyDescent="0.25">
      <c r="B18" s="3">
        <v>16</v>
      </c>
      <c r="C18" t="s">
        <v>37</v>
      </c>
      <c r="D18" t="str">
        <f t="shared" ref="D18:D21" si="5">LEFT(C18,3)</f>
        <v>BG0</v>
      </c>
      <c r="E18" s="12">
        <v>0</v>
      </c>
      <c r="F18" s="12">
        <v>1</v>
      </c>
      <c r="G18" s="15">
        <v>43174</v>
      </c>
      <c r="H18" s="16">
        <v>2</v>
      </c>
      <c r="I18" s="8">
        <v>0</v>
      </c>
      <c r="J18" s="17">
        <v>8</v>
      </c>
      <c r="K18" s="2" t="str">
        <f t="shared" si="1"/>
        <v xml:space="preserve">EXECUTE [dbo].[PG_CI_PRELIQUIDACION] 0,0,16,'BG09','BG0','0',1,'2018-03-16',2,0,8; </v>
      </c>
    </row>
    <row r="19" spans="2:11" x14ac:dyDescent="0.25">
      <c r="B19" s="3">
        <v>17</v>
      </c>
      <c r="C19" t="s">
        <v>95</v>
      </c>
      <c r="D19" t="str">
        <f t="shared" si="5"/>
        <v>C02</v>
      </c>
      <c r="E19" s="12">
        <v>0</v>
      </c>
      <c r="F19" s="12">
        <v>0</v>
      </c>
      <c r="G19" s="15">
        <v>43175</v>
      </c>
      <c r="H19" s="16">
        <v>1</v>
      </c>
      <c r="I19" s="8">
        <v>1</v>
      </c>
      <c r="J19" s="17">
        <v>9</v>
      </c>
      <c r="K19" s="2" t="str">
        <f t="shared" si="1"/>
        <v xml:space="preserve">EXECUTE [dbo].[PG_CI_PRELIQUIDACION] 0,0,17,'C02','C02','0',0,'2018-03-17',1,1,9; </v>
      </c>
    </row>
    <row r="20" spans="2:11" x14ac:dyDescent="0.25">
      <c r="B20" s="3">
        <v>18</v>
      </c>
      <c r="C20" t="s">
        <v>95</v>
      </c>
      <c r="D20" t="str">
        <f t="shared" si="5"/>
        <v>C02</v>
      </c>
      <c r="E20" s="12">
        <v>0</v>
      </c>
      <c r="F20" s="12">
        <v>0</v>
      </c>
      <c r="G20" s="15">
        <v>43176</v>
      </c>
      <c r="H20" s="16">
        <v>2</v>
      </c>
      <c r="I20" s="8">
        <v>0</v>
      </c>
      <c r="J20" s="17">
        <v>9</v>
      </c>
      <c r="K20" s="2" t="str">
        <f t="shared" si="1"/>
        <v xml:space="preserve">EXECUTE [dbo].[PG_CI_PRELIQUIDACION] 0,0,18,'C02','C02','0',0,'2018-03-18',2,0,9; </v>
      </c>
    </row>
    <row r="21" spans="2:11" x14ac:dyDescent="0.25">
      <c r="B21" s="3">
        <v>19</v>
      </c>
      <c r="C21" t="s">
        <v>81</v>
      </c>
      <c r="D21" t="str">
        <f t="shared" si="5"/>
        <v>C12</v>
      </c>
      <c r="E21" s="12">
        <v>0</v>
      </c>
      <c r="F21" s="12">
        <v>0</v>
      </c>
      <c r="G21" s="15">
        <v>43177</v>
      </c>
      <c r="H21" s="16">
        <v>1</v>
      </c>
      <c r="I21" s="8">
        <v>1</v>
      </c>
      <c r="J21" s="17">
        <v>10</v>
      </c>
      <c r="K21" s="2" t="str">
        <f t="shared" si="1"/>
        <v xml:space="preserve">EXECUTE [dbo].[PG_CI_PRELIQUIDACION] 0,0,19,'C126','C12','0',0,'2018-04-20',1,1,10; </v>
      </c>
    </row>
    <row r="22" spans="2:11" x14ac:dyDescent="0.25">
      <c r="B22" s="3">
        <v>20</v>
      </c>
      <c r="C22" t="s">
        <v>81</v>
      </c>
      <c r="D22" t="str">
        <f t="shared" ref="D22:D23" si="6">LEFT(C22,3)</f>
        <v>C12</v>
      </c>
      <c r="E22" s="12">
        <v>0</v>
      </c>
      <c r="F22" s="12">
        <v>0</v>
      </c>
      <c r="G22" s="15">
        <v>43210</v>
      </c>
      <c r="H22" s="16">
        <v>2</v>
      </c>
      <c r="I22" s="8">
        <v>0</v>
      </c>
      <c r="J22" s="17">
        <v>10</v>
      </c>
      <c r="K22" s="2" t="str">
        <f t="shared" si="1"/>
        <v xml:space="preserve">EXECUTE [dbo].[PG_CI_PRELIQUIDACION] 0,0,20,'C126','C12','0',0,'2018-04-21',2,0,10; </v>
      </c>
    </row>
    <row r="23" spans="2:11" x14ac:dyDescent="0.25">
      <c r="B23" s="3">
        <v>21</v>
      </c>
      <c r="C23" t="s">
        <v>118</v>
      </c>
      <c r="D23" t="str">
        <f t="shared" si="6"/>
        <v>c12</v>
      </c>
      <c r="E23" s="12">
        <v>0</v>
      </c>
      <c r="F23" s="12">
        <v>0</v>
      </c>
      <c r="G23" s="15">
        <v>43211</v>
      </c>
      <c r="H23" s="16">
        <v>1</v>
      </c>
      <c r="I23" s="8">
        <v>1</v>
      </c>
      <c r="J23" s="17">
        <v>11</v>
      </c>
      <c r="K23" s="2" t="str">
        <f t="shared" si="1"/>
        <v xml:space="preserve">EXECUTE [dbo].[PG_CI_PRELIQUIDACION] 0,0,21,'c129','c12','0',0,'2018-04-23',1,1,11; </v>
      </c>
    </row>
    <row r="24" spans="2:11" x14ac:dyDescent="0.25">
      <c r="B24" s="3">
        <v>22</v>
      </c>
      <c r="C24" t="s">
        <v>118</v>
      </c>
      <c r="D24" t="str">
        <f>LEFT(C24,3)</f>
        <v>c12</v>
      </c>
      <c r="E24" s="12">
        <v>0</v>
      </c>
      <c r="F24" s="12">
        <v>0</v>
      </c>
      <c r="G24" s="15">
        <v>43213</v>
      </c>
      <c r="H24" s="16">
        <v>2</v>
      </c>
      <c r="I24" s="8">
        <v>0</v>
      </c>
      <c r="J24" s="17">
        <v>11</v>
      </c>
      <c r="K24" s="2" t="str">
        <f t="shared" si="1"/>
        <v xml:space="preserve">EXECUTE [dbo].[PG_CI_PRELIQUIDACION] 0,0,22,'c129','c12','0',0,'2018-04-25',2,0,11; </v>
      </c>
    </row>
    <row r="25" spans="2:11" x14ac:dyDescent="0.25">
      <c r="B25" s="3">
        <v>23</v>
      </c>
      <c r="C25" t="s">
        <v>39</v>
      </c>
      <c r="D25" t="str">
        <f t="shared" ref="D25:D28" si="7">LEFT(C25,3)</f>
        <v>BG1</v>
      </c>
      <c r="E25" s="12">
        <v>0</v>
      </c>
      <c r="F25" s="12">
        <v>0</v>
      </c>
      <c r="G25" s="15">
        <v>43215</v>
      </c>
      <c r="H25" s="16">
        <v>1</v>
      </c>
      <c r="I25" s="8">
        <v>0</v>
      </c>
      <c r="J25" s="17">
        <v>12</v>
      </c>
      <c r="K25" s="2" t="str">
        <f t="shared" si="1"/>
        <v xml:space="preserve">EXECUTE [dbo].[PG_CI_PRELIQUIDACION] 0,0,23,'BG10','BG1','0',0,'2018-05-06',1,0,12; </v>
      </c>
    </row>
    <row r="26" spans="2:11" x14ac:dyDescent="0.25">
      <c r="B26" s="3">
        <v>24</v>
      </c>
      <c r="C26" t="s">
        <v>39</v>
      </c>
      <c r="D26" t="str">
        <f t="shared" si="7"/>
        <v>BG1</v>
      </c>
      <c r="E26" s="12">
        <v>0</v>
      </c>
      <c r="F26" s="12">
        <v>0</v>
      </c>
      <c r="G26" s="15">
        <v>43226</v>
      </c>
      <c r="H26" s="16">
        <v>2</v>
      </c>
      <c r="I26" s="8">
        <v>1</v>
      </c>
      <c r="J26" s="17">
        <v>12</v>
      </c>
      <c r="K26" s="2" t="str">
        <f t="shared" si="1"/>
        <v xml:space="preserve">EXECUTE [dbo].[PG_CI_PRELIQUIDACION] 0,0,24,'BG10','BG1','0',0,'2018-05-07',2,1,12; </v>
      </c>
    </row>
    <row r="27" spans="2:11" x14ac:dyDescent="0.25">
      <c r="B27" s="3">
        <v>25</v>
      </c>
      <c r="C27" t="s">
        <v>37</v>
      </c>
      <c r="D27" t="str">
        <f t="shared" si="7"/>
        <v>BG0</v>
      </c>
      <c r="E27" s="12">
        <v>0</v>
      </c>
      <c r="F27" s="12">
        <v>0</v>
      </c>
      <c r="G27" s="15">
        <v>43227</v>
      </c>
      <c r="H27" s="16">
        <v>1</v>
      </c>
      <c r="I27" s="8">
        <v>0</v>
      </c>
      <c r="J27" s="17">
        <v>13</v>
      </c>
      <c r="K27" s="2" t="str">
        <f t="shared" si="1"/>
        <v xml:space="preserve">EXECUTE [dbo].[PG_CI_PRELIQUIDACION] 0,0,25,'BG09','BG0','0',0,'2018-05-08',1,0,13; </v>
      </c>
    </row>
    <row r="28" spans="2:11" x14ac:dyDescent="0.25">
      <c r="B28" s="3">
        <v>26</v>
      </c>
      <c r="C28" t="s">
        <v>37</v>
      </c>
      <c r="D28" t="str">
        <f t="shared" si="7"/>
        <v>BG0</v>
      </c>
      <c r="E28" s="12">
        <v>0</v>
      </c>
      <c r="F28" s="12">
        <v>1</v>
      </c>
      <c r="G28" s="15">
        <v>43228</v>
      </c>
      <c r="H28" s="16">
        <v>2</v>
      </c>
      <c r="I28" s="8">
        <v>1</v>
      </c>
      <c r="J28" s="17">
        <v>13</v>
      </c>
      <c r="K28" s="2" t="str">
        <f t="shared" si="1"/>
        <v xml:space="preserve">EXECUTE [dbo].[PG_CI_PRELIQUIDACION] 0,0,26,'BG09','BG0','0',1,'2018-05-10',2,1,13; </v>
      </c>
    </row>
    <row r="29" spans="2:11" x14ac:dyDescent="0.25">
      <c r="B29" s="3">
        <v>27</v>
      </c>
      <c r="C29" t="s">
        <v>27</v>
      </c>
      <c r="D29" t="str">
        <f t="shared" ref="D29:D30" si="8">LEFT(C29,3)</f>
        <v>BE0</v>
      </c>
      <c r="E29" s="12">
        <v>0</v>
      </c>
      <c r="F29" s="12">
        <v>1</v>
      </c>
      <c r="G29" s="15">
        <v>43230</v>
      </c>
      <c r="H29" s="16">
        <v>1</v>
      </c>
      <c r="I29" s="8">
        <v>0</v>
      </c>
      <c r="J29" s="17">
        <v>14</v>
      </c>
      <c r="K29" s="2" t="str">
        <f t="shared" si="1"/>
        <v xml:space="preserve">EXECUTE [dbo].[PG_CI_PRELIQUIDACION] 0,0,27,'BE05','BE0','0',1,'2018-05-11',1,0,14; </v>
      </c>
    </row>
    <row r="30" spans="2:11" x14ac:dyDescent="0.25">
      <c r="B30" s="3">
        <v>28</v>
      </c>
      <c r="C30" t="s">
        <v>27</v>
      </c>
      <c r="D30" t="str">
        <f t="shared" si="8"/>
        <v>BE0</v>
      </c>
      <c r="E30" s="12">
        <v>0</v>
      </c>
      <c r="F30" s="12">
        <v>1</v>
      </c>
      <c r="G30" s="15">
        <v>43231</v>
      </c>
      <c r="H30" s="16">
        <v>2</v>
      </c>
      <c r="I30" s="8">
        <v>1</v>
      </c>
      <c r="J30" s="17">
        <v>14</v>
      </c>
      <c r="K30" s="2" t="str">
        <f t="shared" si="1"/>
        <v xml:space="preserve">EXECUTE [dbo].[PG_CI_PRELIQUIDACION] 0,0,28,'BE05','BE0','0',1,'2018-07-13',2,1,14; </v>
      </c>
    </row>
    <row r="31" spans="2:11" x14ac:dyDescent="0.25">
      <c r="B31" s="3">
        <v>29</v>
      </c>
      <c r="C31" t="s">
        <v>81</v>
      </c>
      <c r="D31" t="str">
        <f>LEFT(C31,3)</f>
        <v>C12</v>
      </c>
      <c r="E31" s="12">
        <v>0</v>
      </c>
      <c r="F31" s="12">
        <v>1</v>
      </c>
      <c r="G31" s="15">
        <v>43294</v>
      </c>
      <c r="H31" s="16">
        <v>1</v>
      </c>
      <c r="I31" s="8">
        <v>0</v>
      </c>
      <c r="J31" s="17">
        <v>15</v>
      </c>
      <c r="K31" s="2" t="str">
        <f t="shared" si="1"/>
        <v xml:space="preserve">EXECUTE [dbo].[PG_CI_PRELIQUIDACION] 0,0,29,'C126','C12','0',1,'2018-07-15',1,0,15; </v>
      </c>
    </row>
    <row r="32" spans="2:11" x14ac:dyDescent="0.25">
      <c r="B32" s="3">
        <v>30</v>
      </c>
      <c r="C32" t="s">
        <v>81</v>
      </c>
      <c r="D32" t="str">
        <f t="shared" ref="D32:D35" si="9">LEFT(C32,3)</f>
        <v>C12</v>
      </c>
      <c r="E32" s="12">
        <v>0</v>
      </c>
      <c r="F32" s="12">
        <v>1</v>
      </c>
      <c r="G32" s="15">
        <v>43296</v>
      </c>
      <c r="H32" s="16">
        <v>2</v>
      </c>
      <c r="I32" s="8">
        <v>0</v>
      </c>
      <c r="J32" s="17">
        <v>15</v>
      </c>
      <c r="K32" s="2" t="str">
        <f t="shared" si="1"/>
        <v xml:space="preserve">EXECUTE [dbo].[PG_CI_PRELIQUIDACION] 0,0,30,'C126','C12','0',1,'2018-07-16',2,0,15; </v>
      </c>
    </row>
    <row r="33" spans="2:11" x14ac:dyDescent="0.25">
      <c r="B33" s="3">
        <v>31</v>
      </c>
      <c r="C33" t="s">
        <v>19</v>
      </c>
      <c r="D33" t="str">
        <f t="shared" si="9"/>
        <v>BE0</v>
      </c>
      <c r="E33" s="12">
        <v>0</v>
      </c>
      <c r="F33" s="12">
        <v>0</v>
      </c>
      <c r="G33" s="15">
        <v>43297</v>
      </c>
      <c r="H33" s="16">
        <v>1</v>
      </c>
      <c r="I33" s="8">
        <v>1</v>
      </c>
      <c r="J33" s="17">
        <v>16</v>
      </c>
      <c r="K33" s="2" t="str">
        <f t="shared" si="1"/>
        <v xml:space="preserve">EXECUTE [dbo].[PG_CI_PRELIQUIDACION] 0,0,31,'BE04','BE0','0',0,'2018-07-17',1,1,16; </v>
      </c>
    </row>
    <row r="34" spans="2:11" x14ac:dyDescent="0.25">
      <c r="B34" s="3">
        <v>32</v>
      </c>
      <c r="C34" t="s">
        <v>19</v>
      </c>
      <c r="D34" t="str">
        <f t="shared" si="9"/>
        <v>BE0</v>
      </c>
      <c r="E34" s="12">
        <v>0</v>
      </c>
      <c r="F34" s="12">
        <v>0</v>
      </c>
      <c r="G34" s="15">
        <v>43298</v>
      </c>
      <c r="H34" s="16">
        <v>2</v>
      </c>
      <c r="I34" s="8">
        <v>0</v>
      </c>
      <c r="J34" s="17">
        <v>16</v>
      </c>
      <c r="K34" s="2" t="str">
        <f t="shared" si="1"/>
        <v xml:space="preserve">EXECUTE [dbo].[PG_CI_PRELIQUIDACION] 0,0,32,'BE04','BE0','0',0,'2018-07-18',2,0,16; </v>
      </c>
    </row>
    <row r="35" spans="2:11" x14ac:dyDescent="0.25">
      <c r="B35" s="3">
        <v>33</v>
      </c>
      <c r="C35" t="s">
        <v>61</v>
      </c>
      <c r="D35" t="str">
        <f t="shared" si="9"/>
        <v>BG3</v>
      </c>
      <c r="E35" s="12">
        <v>0</v>
      </c>
      <c r="F35" s="12">
        <v>0</v>
      </c>
      <c r="G35" s="15">
        <v>43299</v>
      </c>
      <c r="H35" s="16">
        <v>1</v>
      </c>
      <c r="I35" s="8">
        <v>1</v>
      </c>
      <c r="J35" s="17">
        <v>17</v>
      </c>
      <c r="K35" s="2" t="str">
        <f t="shared" si="1"/>
        <v xml:space="preserve">EXECUTE [dbo].[PG_CI_PRELIQUIDACION] 0,0,33,'BG31','BG3','0',0,'1900-01-00',1,1,17; </v>
      </c>
    </row>
    <row r="36" spans="2:11" x14ac:dyDescent="0.25">
      <c r="G36" s="15"/>
    </row>
    <row r="39" spans="2:11" x14ac:dyDescent="0.25">
      <c r="I39" s="15"/>
    </row>
    <row r="40" spans="2:11" x14ac:dyDescent="0.25">
      <c r="I40" s="15"/>
    </row>
    <row r="41" spans="2:11" x14ac:dyDescent="0.25">
      <c r="I41" s="15"/>
    </row>
    <row r="42" spans="2:11" x14ac:dyDescent="0.25">
      <c r="I42" s="15"/>
    </row>
    <row r="43" spans="2:11" x14ac:dyDescent="0.25">
      <c r="I43" s="15"/>
    </row>
    <row r="44" spans="2:11" x14ac:dyDescent="0.25">
      <c r="I44" s="15"/>
    </row>
    <row r="45" spans="2:11" x14ac:dyDescent="0.25">
      <c r="I45" s="15"/>
    </row>
    <row r="46" spans="2:11" x14ac:dyDescent="0.25">
      <c r="I46" s="15"/>
    </row>
    <row r="47" spans="2:11" x14ac:dyDescent="0.25">
      <c r="I47" s="15"/>
    </row>
    <row r="48" spans="2:11" x14ac:dyDescent="0.25">
      <c r="I48" s="15"/>
    </row>
    <row r="49" spans="9:9" x14ac:dyDescent="0.25">
      <c r="I49" s="15"/>
    </row>
    <row r="50" spans="9:9" x14ac:dyDescent="0.25">
      <c r="I50" s="15"/>
    </row>
    <row r="51" spans="9:9" x14ac:dyDescent="0.25">
      <c r="I51" s="15"/>
    </row>
    <row r="52" spans="9:9" x14ac:dyDescent="0.25">
      <c r="I52" s="15"/>
    </row>
    <row r="53" spans="9:9" x14ac:dyDescent="0.25">
      <c r="I53" s="15"/>
    </row>
    <row r="54" spans="9:9" x14ac:dyDescent="0.25">
      <c r="I54" s="15"/>
    </row>
    <row r="55" spans="9:9" x14ac:dyDescent="0.25">
      <c r="I55" s="15"/>
    </row>
    <row r="56" spans="9:9" x14ac:dyDescent="0.25">
      <c r="I56" s="15"/>
    </row>
    <row r="57" spans="9:9" x14ac:dyDescent="0.25">
      <c r="I57" s="15"/>
    </row>
    <row r="58" spans="9:9" x14ac:dyDescent="0.25">
      <c r="I58" s="15"/>
    </row>
    <row r="59" spans="9:9" x14ac:dyDescent="0.25">
      <c r="I59" s="15"/>
    </row>
    <row r="60" spans="9:9" x14ac:dyDescent="0.25">
      <c r="I60" s="15"/>
    </row>
    <row r="61" spans="9:9" x14ac:dyDescent="0.25">
      <c r="I61" s="15"/>
    </row>
    <row r="62" spans="9:9" x14ac:dyDescent="0.25">
      <c r="I62" s="15"/>
    </row>
    <row r="63" spans="9:9" x14ac:dyDescent="0.25">
      <c r="I63" s="15"/>
    </row>
    <row r="64" spans="9:9" x14ac:dyDescent="0.25">
      <c r="I64" s="15"/>
    </row>
    <row r="65" spans="9:9" x14ac:dyDescent="0.25">
      <c r="I65" s="15"/>
    </row>
    <row r="66" spans="9:9" x14ac:dyDescent="0.25">
      <c r="I66" s="15"/>
    </row>
    <row r="67" spans="9:9" x14ac:dyDescent="0.25">
      <c r="I67" s="15"/>
    </row>
    <row r="68" spans="9:9" x14ac:dyDescent="0.25">
      <c r="I68" s="15"/>
    </row>
    <row r="69" spans="9:9" x14ac:dyDescent="0.25">
      <c r="I69" s="15"/>
    </row>
    <row r="70" spans="9:9" x14ac:dyDescent="0.25">
      <c r="I70" s="15"/>
    </row>
    <row r="71" spans="9:9" x14ac:dyDescent="0.25">
      <c r="I7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9">
        <v>41207.688564814816</v>
      </c>
      <c r="P1" t="s">
        <v>10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9">
        <v>41207.688564814816</v>
      </c>
      <c r="P2" t="s">
        <v>10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9">
        <v>41207.688564814816</v>
      </c>
      <c r="P3" t="s">
        <v>10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9">
        <v>41207.688564814816</v>
      </c>
      <c r="P4" t="s">
        <v>10</v>
      </c>
    </row>
    <row r="5" spans="1:16" x14ac:dyDescent="0.2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9">
        <v>41207.688564814816</v>
      </c>
      <c r="P5" t="s">
        <v>10</v>
      </c>
    </row>
    <row r="6" spans="1:16" x14ac:dyDescent="0.2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9">
        <v>41207.688564814816</v>
      </c>
      <c r="P6" t="s">
        <v>10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9">
        <v>41207.688564814816</v>
      </c>
      <c r="P7" t="s">
        <v>10</v>
      </c>
    </row>
    <row r="8" spans="1:16" x14ac:dyDescent="0.2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9">
        <v>41207.688564814816</v>
      </c>
      <c r="P8" t="s">
        <v>10</v>
      </c>
    </row>
    <row r="9" spans="1:16" x14ac:dyDescent="0.2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9">
        <v>41207.688564814816</v>
      </c>
      <c r="P9" t="s">
        <v>10</v>
      </c>
    </row>
    <row r="10" spans="1:16" x14ac:dyDescent="0.2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9">
        <v>41207.688564814816</v>
      </c>
      <c r="P10" t="s">
        <v>10</v>
      </c>
    </row>
    <row r="11" spans="1:16" x14ac:dyDescent="0.2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9">
        <v>41207.688564814816</v>
      </c>
      <c r="P11" t="s">
        <v>10</v>
      </c>
    </row>
    <row r="12" spans="1:16" x14ac:dyDescent="0.2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9">
        <v>41207.688564814816</v>
      </c>
      <c r="P12" t="s">
        <v>10</v>
      </c>
    </row>
    <row r="13" spans="1:16" x14ac:dyDescent="0.2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9">
        <v>41207.688564814816</v>
      </c>
      <c r="P13" t="s">
        <v>10</v>
      </c>
    </row>
    <row r="14" spans="1:16" x14ac:dyDescent="0.2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9">
        <v>41207.688564814816</v>
      </c>
      <c r="P14" t="s">
        <v>10</v>
      </c>
    </row>
    <row r="15" spans="1:16" x14ac:dyDescent="0.2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9">
        <v>41207.688564814816</v>
      </c>
      <c r="P15" t="s">
        <v>10</v>
      </c>
    </row>
    <row r="16" spans="1:16" x14ac:dyDescent="0.2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9">
        <v>41207.688564814816</v>
      </c>
      <c r="P16" t="s">
        <v>10</v>
      </c>
    </row>
    <row r="17" spans="1:16" x14ac:dyDescent="0.2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9">
        <v>41207.688564814816</v>
      </c>
      <c r="P17" t="s">
        <v>10</v>
      </c>
    </row>
    <row r="18" spans="1:16" x14ac:dyDescent="0.2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9">
        <v>41207.688564814816</v>
      </c>
      <c r="P18" t="s">
        <v>10</v>
      </c>
    </row>
    <row r="19" spans="1:16" x14ac:dyDescent="0.2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9">
        <v>41207.688564814816</v>
      </c>
      <c r="P19" t="s">
        <v>10</v>
      </c>
    </row>
    <row r="20" spans="1:16" x14ac:dyDescent="0.2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9">
        <v>41207.688564814816</v>
      </c>
      <c r="P20" t="s">
        <v>10</v>
      </c>
    </row>
    <row r="21" spans="1:16" x14ac:dyDescent="0.2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9">
        <v>41207.688564814816</v>
      </c>
      <c r="P21" t="s">
        <v>10</v>
      </c>
    </row>
    <row r="22" spans="1:16" x14ac:dyDescent="0.2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9">
        <v>41207.688564814816</v>
      </c>
      <c r="P22" t="s">
        <v>10</v>
      </c>
    </row>
    <row r="23" spans="1:16" x14ac:dyDescent="0.2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9">
        <v>41207.688564814816</v>
      </c>
      <c r="P23" t="s">
        <v>10</v>
      </c>
    </row>
    <row r="24" spans="1:16" x14ac:dyDescent="0.2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9">
        <v>41207.688564814816</v>
      </c>
      <c r="P24" t="s">
        <v>10</v>
      </c>
    </row>
    <row r="25" spans="1:16" x14ac:dyDescent="0.2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9">
        <v>41207.688564814816</v>
      </c>
      <c r="P25" t="s">
        <v>10</v>
      </c>
    </row>
    <row r="26" spans="1:16" x14ac:dyDescent="0.2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9">
        <v>41207.688564814816</v>
      </c>
      <c r="P26" t="s">
        <v>10</v>
      </c>
    </row>
    <row r="27" spans="1:16" x14ac:dyDescent="0.2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9">
        <v>41207.688564814816</v>
      </c>
      <c r="P27" t="s">
        <v>10</v>
      </c>
    </row>
    <row r="28" spans="1:16" x14ac:dyDescent="0.2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9">
        <v>41207.688564814816</v>
      </c>
      <c r="P28" t="s">
        <v>10</v>
      </c>
    </row>
    <row r="29" spans="1:16" x14ac:dyDescent="0.2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9">
        <v>41207.688564814816</v>
      </c>
      <c r="P29" t="s">
        <v>10</v>
      </c>
    </row>
    <row r="30" spans="1:16" x14ac:dyDescent="0.2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9">
        <v>41207.688564814816</v>
      </c>
      <c r="P30" t="s">
        <v>10</v>
      </c>
    </row>
    <row r="31" spans="1:16" x14ac:dyDescent="0.2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9">
        <v>41207.688564814816</v>
      </c>
      <c r="P31" t="s">
        <v>10</v>
      </c>
    </row>
    <row r="32" spans="1:16" x14ac:dyDescent="0.2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9">
        <v>41207.688564814816</v>
      </c>
      <c r="P32" t="s">
        <v>10</v>
      </c>
    </row>
    <row r="33" spans="1:16" x14ac:dyDescent="0.2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9">
        <v>41207.688564814816</v>
      </c>
      <c r="P33" t="s">
        <v>10</v>
      </c>
    </row>
    <row r="34" spans="1:16" x14ac:dyDescent="0.2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9">
        <v>41207.688564814816</v>
      </c>
      <c r="P34" t="s">
        <v>10</v>
      </c>
    </row>
    <row r="35" spans="1:16" x14ac:dyDescent="0.2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9">
        <v>41207.688564814816</v>
      </c>
      <c r="P35" t="s">
        <v>10</v>
      </c>
    </row>
    <row r="36" spans="1:16" x14ac:dyDescent="0.2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9">
        <v>41207.688564814816</v>
      </c>
      <c r="P36" t="s">
        <v>10</v>
      </c>
    </row>
    <row r="37" spans="1:16" x14ac:dyDescent="0.2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9">
        <v>41207.688564814816</v>
      </c>
      <c r="P37" t="s">
        <v>10</v>
      </c>
    </row>
    <row r="38" spans="1:16" x14ac:dyDescent="0.2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9">
        <v>41207.688564814816</v>
      </c>
      <c r="P38" t="s">
        <v>10</v>
      </c>
    </row>
    <row r="39" spans="1:16" x14ac:dyDescent="0.2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9">
        <v>41207.688564814816</v>
      </c>
      <c r="P39" t="s">
        <v>10</v>
      </c>
    </row>
    <row r="40" spans="1:16" x14ac:dyDescent="0.2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9">
        <v>41207.688564814816</v>
      </c>
      <c r="P40" t="s">
        <v>10</v>
      </c>
    </row>
    <row r="41" spans="1:16" x14ac:dyDescent="0.2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9">
        <v>41207.688564814816</v>
      </c>
      <c r="P41" t="s">
        <v>10</v>
      </c>
    </row>
    <row r="42" spans="1:16" x14ac:dyDescent="0.2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9">
        <v>41207.688564814816</v>
      </c>
      <c r="P42" t="s">
        <v>10</v>
      </c>
    </row>
    <row r="43" spans="1:16" x14ac:dyDescent="0.2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9">
        <v>41207.688564814816</v>
      </c>
      <c r="P43" t="s">
        <v>10</v>
      </c>
    </row>
    <row r="44" spans="1:16" x14ac:dyDescent="0.2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9">
        <v>41207.688564814816</v>
      </c>
      <c r="P44" t="s">
        <v>10</v>
      </c>
    </row>
    <row r="45" spans="1:16" x14ac:dyDescent="0.2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9">
        <v>41207.688564814816</v>
      </c>
      <c r="P45" t="s">
        <v>10</v>
      </c>
    </row>
    <row r="46" spans="1:16" x14ac:dyDescent="0.2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9">
        <v>41207.688564814816</v>
      </c>
      <c r="P46" t="s">
        <v>10</v>
      </c>
    </row>
    <row r="47" spans="1:16" x14ac:dyDescent="0.2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9">
        <v>41207.688564814816</v>
      </c>
      <c r="P47" t="s">
        <v>10</v>
      </c>
    </row>
    <row r="48" spans="1:16" x14ac:dyDescent="0.2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9">
        <v>41207.688564814816</v>
      </c>
      <c r="P48" t="s">
        <v>10</v>
      </c>
    </row>
    <row r="49" spans="1:16" x14ac:dyDescent="0.2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9">
        <v>41207.688564814816</v>
      </c>
      <c r="P49" t="s">
        <v>10</v>
      </c>
    </row>
    <row r="50" spans="1:16" x14ac:dyDescent="0.2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9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2019-02-16T17:30:20Z</dcterms:modified>
</cp:coreProperties>
</file>