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Tomza_HGF\TI_TecnologiaInformacion\2.Soluciones_TTi\ADG18_Administradora\CodigoSQL\ADG18_Liberacion_R0.00_Base_V0014\Scripts_R200_PRO\"/>
    </mc:Choice>
  </mc:AlternateContent>
  <bookViews>
    <workbookView xWindow="0" yWindow="0" windowWidth="20436" windowHeight="7596"/>
  </bookViews>
  <sheets>
    <sheet name="PRODUC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1" l="1"/>
  <c r="L12" i="1"/>
  <c r="M11" i="1"/>
  <c r="L11" i="1"/>
  <c r="M10" i="1"/>
  <c r="L10" i="1"/>
  <c r="M9" i="1"/>
  <c r="L9" i="1"/>
  <c r="M4" i="1"/>
  <c r="L4" i="1"/>
  <c r="M3" i="1"/>
  <c r="L3" i="1"/>
  <c r="M5" i="1"/>
  <c r="L5" i="1"/>
  <c r="K8" i="1"/>
  <c r="K7" i="1"/>
  <c r="K6" i="1"/>
  <c r="N12" i="1" l="1"/>
  <c r="N11" i="1"/>
  <c r="N9" i="1"/>
  <c r="N10" i="1" l="1"/>
  <c r="M6" i="1"/>
  <c r="M7" i="1"/>
  <c r="M8" i="1"/>
  <c r="L6" i="1"/>
  <c r="L7" i="1"/>
  <c r="L8" i="1"/>
  <c r="N4" i="1" l="1"/>
  <c r="N5" i="1"/>
  <c r="N8" i="1"/>
  <c r="N7" i="1"/>
  <c r="N3" i="1"/>
  <c r="N6" i="1"/>
</calcChain>
</file>

<file path=xl/sharedStrings.xml><?xml version="1.0" encoding="utf-8"?>
<sst xmlns="http://schemas.openxmlformats.org/spreadsheetml/2006/main" count="32" uniqueCount="32">
  <si>
    <t>K_PRODUCTO</t>
  </si>
  <si>
    <t>S_PRODUCTO</t>
  </si>
  <si>
    <t>O_PRODUCTO</t>
  </si>
  <si>
    <t>K_ESTATUS_PRODUCTO</t>
  </si>
  <si>
    <t>K_TIPO_PRODUCTO</t>
  </si>
  <si>
    <t>K_UNIDAD</t>
  </si>
  <si>
    <t>CANTIDAD</t>
  </si>
  <si>
    <t>FACTOR_KILOS</t>
  </si>
  <si>
    <t>FACTOR_LITROS</t>
  </si>
  <si>
    <t>CANTIDAD_KILOS</t>
  </si>
  <si>
    <t>CANTIDAD_LITROS</t>
  </si>
  <si>
    <t>GASOLINA</t>
  </si>
  <si>
    <t>ESTACIONARIO</t>
  </si>
  <si>
    <t>TANQUE 20KG</t>
  </si>
  <si>
    <t>TANQUE 30KG</t>
  </si>
  <si>
    <t>TANQUE 50KG</t>
  </si>
  <si>
    <t>GASO</t>
  </si>
  <si>
    <t>EST</t>
  </si>
  <si>
    <t>TAN20</t>
  </si>
  <si>
    <t>TAN30</t>
  </si>
  <si>
    <t>TAN50</t>
  </si>
  <si>
    <t>D_PRODUCTO</t>
  </si>
  <si>
    <t>GAS LP (LT)</t>
  </si>
  <si>
    <t>LP.LT</t>
  </si>
  <si>
    <t>MANTENIMIENTO</t>
  </si>
  <si>
    <t>MANTTO</t>
  </si>
  <si>
    <t>POR SERVICIO</t>
  </si>
  <si>
    <t>PORSERV</t>
  </si>
  <si>
    <t>RECONEXION DE LINEA</t>
  </si>
  <si>
    <t>RECLIN</t>
  </si>
  <si>
    <t>MEDIDOR DE GAS</t>
  </si>
  <si>
    <t>MEDGAS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</si>
</sst>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8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0" fontId="4" fillId="0" borderId="0" xfId="0" applyFont="1"/>
    <xf numFmtId="0" fontId="5" fillId="0" borderId="0" xfId="0" quotePrefix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1" applyFont="1" applyFill="1" applyAlignment="1">
      <alignment horizontal="center"/>
    </xf>
    <xf numFmtId="0" fontId="2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8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baseColWidth="10" defaultRowHeight="14.4" x14ac:dyDescent="0.3"/>
  <cols>
    <col min="1" max="1" width="5.21875" customWidth="1"/>
    <col min="2" max="2" width="13.109375" style="4" bestFit="1" customWidth="1"/>
    <col min="3" max="3" width="21.33203125" bestFit="1" customWidth="1"/>
    <col min="4" max="4" width="13" bestFit="1" customWidth="1"/>
    <col min="5" max="5" width="13.44140625" bestFit="1" customWidth="1"/>
    <col min="6" max="6" width="22.109375" bestFit="1" customWidth="1"/>
    <col min="7" max="7" width="18.44140625" style="1" bestFit="1" customWidth="1"/>
    <col min="8" max="8" width="10.44140625" style="1" bestFit="1" customWidth="1"/>
    <col min="9" max="9" width="10.33203125" style="14" bestFit="1" customWidth="1"/>
    <col min="10" max="10" width="14" style="1" bestFit="1" customWidth="1"/>
    <col min="11" max="11" width="15" bestFit="1" customWidth="1"/>
    <col min="12" max="12" width="16.44140625" bestFit="1" customWidth="1"/>
    <col min="13" max="13" width="17.44140625" bestFit="1" customWidth="1"/>
    <col min="14" max="14" width="84" bestFit="1" customWidth="1"/>
    <col min="16" max="16" width="28.5546875" bestFit="1" customWidth="1"/>
    <col min="17" max="17" width="21.5546875" bestFit="1" customWidth="1"/>
    <col min="18" max="18" width="12" bestFit="1" customWidth="1"/>
    <col min="19" max="19" width="31.88671875" customWidth="1"/>
    <col min="20" max="20" width="13.88671875" bestFit="1" customWidth="1"/>
  </cols>
  <sheetData>
    <row r="2" spans="2:22" s="5" customFormat="1" x14ac:dyDescent="0.3">
      <c r="B2" s="4" t="s">
        <v>0</v>
      </c>
      <c r="C2" s="5" t="s">
        <v>21</v>
      </c>
      <c r="D2" s="5" t="s">
        <v>1</v>
      </c>
      <c r="E2" s="5" t="s">
        <v>2</v>
      </c>
      <c r="F2" s="5" t="s">
        <v>3</v>
      </c>
      <c r="G2" s="6" t="s">
        <v>4</v>
      </c>
      <c r="H2" s="6" t="s">
        <v>5</v>
      </c>
      <c r="I2" s="12" t="s">
        <v>6</v>
      </c>
      <c r="J2" s="6" t="s">
        <v>7</v>
      </c>
      <c r="K2" s="5" t="s">
        <v>8</v>
      </c>
      <c r="L2" s="5" t="s">
        <v>9</v>
      </c>
      <c r="M2" s="5" t="s">
        <v>10</v>
      </c>
      <c r="V2" s="3"/>
    </row>
    <row r="3" spans="2:22" x14ac:dyDescent="0.3">
      <c r="B3" s="4">
        <v>1</v>
      </c>
      <c r="C3" t="s">
        <v>22</v>
      </c>
      <c r="D3" t="s">
        <v>23</v>
      </c>
      <c r="E3">
        <v>1</v>
      </c>
      <c r="F3">
        <v>0</v>
      </c>
      <c r="G3" s="9">
        <v>1</v>
      </c>
      <c r="H3" s="11">
        <v>2</v>
      </c>
      <c r="I3" s="15">
        <v>1</v>
      </c>
      <c r="J3" s="15">
        <v>0.54</v>
      </c>
      <c r="K3" s="15">
        <v>1</v>
      </c>
      <c r="L3" s="17">
        <f t="shared" ref="L3" si="0">I3*J3</f>
        <v>0.54</v>
      </c>
      <c r="M3" s="17">
        <f t="shared" ref="M3" si="1">I3*K3</f>
        <v>1</v>
      </c>
      <c r="N3" s="3" t="str">
        <f>CONCATENATE("EXECUTE [dbo].[PG_CI_PRODUCTO] 0,0, ",B3,", '",C3,"', '",D3,"', ",E3,", ",F3,", ",G3,", ",H3,", ",I3,", ",J3,", ",K3,", ",L3,", ",M3,"; ")</f>
        <v xml:space="preserve">EXECUTE [dbo].[PG_CI_PRODUCTO] 0,0, 1, 'GAS LP (LT)', 'LP.LT', 1, 0, 1, 2, 1, 0.54, 1, 0.54, 1; </v>
      </c>
      <c r="R3" s="1"/>
      <c r="V3" s="3"/>
    </row>
    <row r="4" spans="2:22" x14ac:dyDescent="0.3">
      <c r="B4" s="4">
        <v>2</v>
      </c>
      <c r="C4" t="s">
        <v>11</v>
      </c>
      <c r="D4" t="s">
        <v>16</v>
      </c>
      <c r="E4">
        <v>2</v>
      </c>
      <c r="F4">
        <v>1</v>
      </c>
      <c r="G4" s="9">
        <v>3</v>
      </c>
      <c r="H4" s="11">
        <v>2</v>
      </c>
      <c r="I4" s="15">
        <v>1</v>
      </c>
      <c r="J4" s="15">
        <v>0.54</v>
      </c>
      <c r="K4" s="15">
        <v>1</v>
      </c>
      <c r="L4" s="17">
        <f t="shared" ref="L4" si="2">I4*J4</f>
        <v>0.54</v>
      </c>
      <c r="M4" s="17">
        <f t="shared" ref="M4" si="3">I4*K4</f>
        <v>1</v>
      </c>
      <c r="N4" s="3" t="str">
        <f t="shared" ref="N4:N12" si="4">CONCATENATE("EXECUTE [dbo].[PG_CI_PRODUCTO] 0,0, ",B4,", '",C4,"', '",D4,"', ",E4,", ",F4,", ",G4,", ",H4,", ",I4,", ",J4,", ",K4,", ",L4,", ",M4,"; ")</f>
        <v xml:space="preserve">EXECUTE [dbo].[PG_CI_PRODUCTO] 0,0, 2, 'GASOLINA', 'GASO', 2, 1, 3, 2, 1, 0.54, 1, 0.54, 1; </v>
      </c>
      <c r="R4" s="1"/>
      <c r="V4" s="3"/>
    </row>
    <row r="5" spans="2:22" x14ac:dyDescent="0.3">
      <c r="B5" s="4">
        <v>3</v>
      </c>
      <c r="C5" t="s">
        <v>12</v>
      </c>
      <c r="D5" t="s">
        <v>17</v>
      </c>
      <c r="E5">
        <v>3</v>
      </c>
      <c r="F5">
        <v>1</v>
      </c>
      <c r="G5" s="9">
        <v>2</v>
      </c>
      <c r="H5" s="11">
        <v>2</v>
      </c>
      <c r="I5" s="15">
        <v>1</v>
      </c>
      <c r="J5" s="15">
        <v>0.54</v>
      </c>
      <c r="K5" s="15">
        <v>1</v>
      </c>
      <c r="L5" s="17">
        <f t="shared" ref="L5" si="5">I5*J5</f>
        <v>0.54</v>
      </c>
      <c r="M5" s="17">
        <f t="shared" ref="M5" si="6">I5*K5</f>
        <v>1</v>
      </c>
      <c r="N5" s="3" t="str">
        <f t="shared" si="4"/>
        <v xml:space="preserve">EXECUTE [dbo].[PG_CI_PRODUCTO] 0,0, 3, 'ESTACIONARIO', 'EST', 3, 1, 2, 2, 1, 0.54, 1, 0.54, 1; </v>
      </c>
      <c r="R5" s="1"/>
      <c r="V5" s="3"/>
    </row>
    <row r="6" spans="2:22" x14ac:dyDescent="0.3">
      <c r="B6" s="4">
        <v>4</v>
      </c>
      <c r="C6" t="s">
        <v>13</v>
      </c>
      <c r="D6" t="s">
        <v>18</v>
      </c>
      <c r="E6">
        <v>4</v>
      </c>
      <c r="F6">
        <v>0</v>
      </c>
      <c r="G6" s="9">
        <v>3</v>
      </c>
      <c r="H6" s="11">
        <v>1</v>
      </c>
      <c r="I6" s="15">
        <v>20</v>
      </c>
      <c r="J6" s="15">
        <v>1</v>
      </c>
      <c r="K6" s="15">
        <f>1/0.54</f>
        <v>1.8518518518518516</v>
      </c>
      <c r="L6" s="17">
        <f t="shared" ref="L4:L8" si="7">I6*J6</f>
        <v>20</v>
      </c>
      <c r="M6" s="17">
        <f t="shared" ref="M4:M8" si="8">I6*K6</f>
        <v>37.037037037037031</v>
      </c>
      <c r="N6" s="3" t="str">
        <f t="shared" si="4"/>
        <v xml:space="preserve">EXECUTE [dbo].[PG_CI_PRODUCTO] 0,0, 4, 'TANQUE 20KG', 'TAN20', 4, 0, 3, 1, 20, 1, 1.85185185185185, 20, 37.037037037037; </v>
      </c>
      <c r="R6" s="1"/>
      <c r="S6" s="10"/>
      <c r="V6" s="3"/>
    </row>
    <row r="7" spans="2:22" x14ac:dyDescent="0.3">
      <c r="B7" s="4">
        <v>5</v>
      </c>
      <c r="C7" t="s">
        <v>14</v>
      </c>
      <c r="D7" t="s">
        <v>19</v>
      </c>
      <c r="E7">
        <v>5</v>
      </c>
      <c r="F7">
        <v>1</v>
      </c>
      <c r="G7" s="9">
        <v>3</v>
      </c>
      <c r="H7" s="11">
        <v>1</v>
      </c>
      <c r="I7" s="16">
        <v>30</v>
      </c>
      <c r="J7" s="15">
        <v>1</v>
      </c>
      <c r="K7" s="15">
        <f t="shared" ref="K7:K8" si="9">1/0.54</f>
        <v>1.8518518518518516</v>
      </c>
      <c r="L7" s="17">
        <f t="shared" si="7"/>
        <v>30</v>
      </c>
      <c r="M7" s="17">
        <f t="shared" si="8"/>
        <v>55.55555555555555</v>
      </c>
      <c r="N7" s="3" t="str">
        <f t="shared" si="4"/>
        <v xml:space="preserve">EXECUTE [dbo].[PG_CI_PRODUCTO] 0,0, 5, 'TANQUE 30KG', 'TAN30', 5, 1, 3, 1, 30, 1, 1.85185185185185, 30, 55.5555555555556; </v>
      </c>
      <c r="S7" s="7"/>
    </row>
    <row r="8" spans="2:22" x14ac:dyDescent="0.3">
      <c r="B8" s="4">
        <v>6</v>
      </c>
      <c r="C8" t="s">
        <v>15</v>
      </c>
      <c r="D8" t="s">
        <v>20</v>
      </c>
      <c r="E8">
        <v>6</v>
      </c>
      <c r="F8">
        <v>1</v>
      </c>
      <c r="G8" s="9">
        <v>3</v>
      </c>
      <c r="H8" s="11">
        <v>1</v>
      </c>
      <c r="I8" s="16">
        <v>50</v>
      </c>
      <c r="J8" s="15">
        <v>1</v>
      </c>
      <c r="K8" s="15">
        <f t="shared" si="9"/>
        <v>1.8518518518518516</v>
      </c>
      <c r="L8" s="17">
        <f t="shared" si="7"/>
        <v>50</v>
      </c>
      <c r="M8" s="17">
        <f t="shared" si="8"/>
        <v>92.592592592592581</v>
      </c>
      <c r="N8" s="3" t="str">
        <f t="shared" si="4"/>
        <v xml:space="preserve">EXECUTE [dbo].[PG_CI_PRODUCTO] 0,0, 6, 'TANQUE 50KG', 'TAN50', 6, 1, 3, 1, 50, 1, 1.85185185185185, 50, 92.5925925925926; </v>
      </c>
      <c r="O8" s="2"/>
      <c r="P8" s="2"/>
      <c r="Q8" s="2"/>
      <c r="R8" s="2"/>
      <c r="S8" s="7"/>
    </row>
    <row r="9" spans="2:22" x14ac:dyDescent="0.3">
      <c r="B9" s="4">
        <v>8</v>
      </c>
      <c r="C9" t="s">
        <v>30</v>
      </c>
      <c r="D9" t="s">
        <v>31</v>
      </c>
      <c r="E9">
        <v>2</v>
      </c>
      <c r="F9">
        <v>1</v>
      </c>
      <c r="G9" s="9">
        <v>3</v>
      </c>
      <c r="H9" s="11">
        <v>3</v>
      </c>
      <c r="I9" s="15">
        <v>1</v>
      </c>
      <c r="J9" s="15">
        <v>1</v>
      </c>
      <c r="K9" s="15">
        <v>1</v>
      </c>
      <c r="L9" s="17">
        <f t="shared" ref="L9:L12" si="10">I9*J9</f>
        <v>1</v>
      </c>
      <c r="M9" s="17">
        <f t="shared" ref="M9:M12" si="11">I9*K9</f>
        <v>1</v>
      </c>
      <c r="N9" s="3" t="str">
        <f t="shared" si="4"/>
        <v xml:space="preserve">EXECUTE [dbo].[PG_CI_PRODUCTO] 0,0, 8, 'MEDIDOR DE GAS', 'MEDGAS', 2, 1, 3, 3, 1, 1, 1, 1, 1; </v>
      </c>
      <c r="R9" s="1"/>
      <c r="V9" s="3"/>
    </row>
    <row r="10" spans="2:22" x14ac:dyDescent="0.3">
      <c r="B10" s="4">
        <v>9</v>
      </c>
      <c r="C10" t="s">
        <v>28</v>
      </c>
      <c r="D10" t="s">
        <v>29</v>
      </c>
      <c r="E10">
        <v>3</v>
      </c>
      <c r="F10">
        <v>1</v>
      </c>
      <c r="G10" s="9">
        <v>2</v>
      </c>
      <c r="H10" s="11">
        <v>4</v>
      </c>
      <c r="I10" s="15">
        <v>1</v>
      </c>
      <c r="J10" s="15">
        <v>1</v>
      </c>
      <c r="K10" s="15">
        <v>1</v>
      </c>
      <c r="L10" s="17">
        <f t="shared" si="10"/>
        <v>1</v>
      </c>
      <c r="M10" s="17">
        <f t="shared" si="11"/>
        <v>1</v>
      </c>
      <c r="N10" s="3" t="str">
        <f t="shared" si="4"/>
        <v xml:space="preserve">EXECUTE [dbo].[PG_CI_PRODUCTO] 0,0, 9, 'RECONEXION DE LINEA', 'RECLIN', 3, 1, 2, 4, 1, 1, 1, 1, 1; </v>
      </c>
      <c r="R10" s="1"/>
      <c r="V10" s="3"/>
    </row>
    <row r="11" spans="2:22" x14ac:dyDescent="0.3">
      <c r="B11" s="4">
        <v>11</v>
      </c>
      <c r="C11" t="s">
        <v>24</v>
      </c>
      <c r="D11" t="s">
        <v>25</v>
      </c>
      <c r="E11">
        <v>5</v>
      </c>
      <c r="F11">
        <v>1</v>
      </c>
      <c r="G11" s="9">
        <v>3</v>
      </c>
      <c r="H11" s="11">
        <v>4</v>
      </c>
      <c r="I11" s="15">
        <v>1</v>
      </c>
      <c r="J11" s="15">
        <v>1</v>
      </c>
      <c r="K11" s="15">
        <v>1</v>
      </c>
      <c r="L11" s="17">
        <f t="shared" si="10"/>
        <v>1</v>
      </c>
      <c r="M11" s="17">
        <f t="shared" si="11"/>
        <v>1</v>
      </c>
      <c r="N11" s="3" t="str">
        <f t="shared" si="4"/>
        <v xml:space="preserve">EXECUTE [dbo].[PG_CI_PRODUCTO] 0,0, 11, 'MANTENIMIENTO', 'MANTTO', 5, 1, 3, 4, 1, 1, 1, 1, 1; </v>
      </c>
      <c r="S11" s="7"/>
    </row>
    <row r="12" spans="2:22" x14ac:dyDescent="0.3">
      <c r="B12" s="4">
        <v>12</v>
      </c>
      <c r="C12" t="s">
        <v>26</v>
      </c>
      <c r="D12" t="s">
        <v>27</v>
      </c>
      <c r="E12">
        <v>6</v>
      </c>
      <c r="F12">
        <v>1</v>
      </c>
      <c r="G12" s="9">
        <v>3</v>
      </c>
      <c r="H12" s="11">
        <v>4</v>
      </c>
      <c r="I12" s="15">
        <v>1</v>
      </c>
      <c r="J12" s="15">
        <v>1</v>
      </c>
      <c r="K12" s="15">
        <v>1</v>
      </c>
      <c r="L12" s="17">
        <f t="shared" si="10"/>
        <v>1</v>
      </c>
      <c r="M12" s="17">
        <f t="shared" si="11"/>
        <v>1</v>
      </c>
      <c r="N12" s="3" t="str">
        <f t="shared" si="4"/>
        <v xml:space="preserve">EXECUTE [dbo].[PG_CI_PRODUCTO] 0,0, 12, 'POR SERVICIO', 'PORSERV', 6, 1, 3, 4, 1, 1, 1, 1, 1; </v>
      </c>
      <c r="O12" s="2"/>
      <c r="P12" s="2"/>
      <c r="Q12" s="2"/>
      <c r="R12" s="2"/>
      <c r="S12" s="7"/>
    </row>
    <row r="13" spans="2:22" x14ac:dyDescent="0.3">
      <c r="G13" s="2"/>
      <c r="H13" s="2"/>
      <c r="I13" s="13"/>
      <c r="J13" s="2"/>
      <c r="S13" s="7"/>
    </row>
    <row r="14" spans="2:22" x14ac:dyDescent="0.3">
      <c r="G14" s="2"/>
      <c r="H14" s="2"/>
      <c r="I14" s="13"/>
      <c r="J14" s="2"/>
      <c r="S14" s="7"/>
    </row>
    <row r="15" spans="2:22" x14ac:dyDescent="0.3">
      <c r="G15" s="2"/>
      <c r="H15" s="2"/>
      <c r="I15" s="13"/>
      <c r="J15" s="2"/>
      <c r="S15" s="7"/>
    </row>
    <row r="16" spans="2:22" x14ac:dyDescent="0.3">
      <c r="G16" s="2"/>
      <c r="H16" s="2"/>
      <c r="I16" s="13"/>
      <c r="J16" s="2"/>
      <c r="S16" s="7"/>
    </row>
    <row r="17" spans="7:19" x14ac:dyDescent="0.3">
      <c r="G17" s="2"/>
      <c r="H17" s="2"/>
      <c r="I17" s="13"/>
      <c r="J17" s="2"/>
      <c r="S17" s="7"/>
    </row>
    <row r="18" spans="7:19" x14ac:dyDescent="0.3">
      <c r="S18" s="8"/>
    </row>
    <row r="19" spans="7:19" x14ac:dyDescent="0.3">
      <c r="S19" s="8"/>
    </row>
    <row r="20" spans="7:19" x14ac:dyDescent="0.3">
      <c r="S20" s="8"/>
    </row>
    <row r="21" spans="7:19" x14ac:dyDescent="0.3">
      <c r="S21" s="8"/>
    </row>
    <row r="22" spans="7:19" x14ac:dyDescent="0.3">
      <c r="S22" s="8"/>
    </row>
    <row r="23" spans="7:19" x14ac:dyDescent="0.3">
      <c r="S23" s="8"/>
    </row>
    <row r="24" spans="7:19" x14ac:dyDescent="0.3">
      <c r="S24" s="8"/>
    </row>
    <row r="25" spans="7:19" x14ac:dyDescent="0.3">
      <c r="S25" s="8"/>
    </row>
    <row r="26" spans="7:19" x14ac:dyDescent="0.3">
      <c r="S26" s="8"/>
    </row>
    <row r="27" spans="7:19" x14ac:dyDescent="0.3">
      <c r="S27" s="8"/>
    </row>
    <row r="28" spans="7:19" x14ac:dyDescent="0.3">
      <c r="S28" s="8"/>
    </row>
    <row r="29" spans="7:19" x14ac:dyDescent="0.3">
      <c r="S29" s="8"/>
    </row>
    <row r="30" spans="7:19" x14ac:dyDescent="0.3">
      <c r="S30" s="8"/>
    </row>
    <row r="31" spans="7:19" x14ac:dyDescent="0.3">
      <c r="S31" s="8"/>
    </row>
    <row r="32" spans="7:19" x14ac:dyDescent="0.3">
      <c r="S32" s="8"/>
    </row>
    <row r="33" spans="9:19" x14ac:dyDescent="0.3">
      <c r="S33" s="8"/>
    </row>
    <row r="34" spans="9:19" x14ac:dyDescent="0.3">
      <c r="S34" s="8"/>
    </row>
    <row r="35" spans="9:19" x14ac:dyDescent="0.3">
      <c r="S35" s="8"/>
    </row>
    <row r="36" spans="9:19" x14ac:dyDescent="0.3">
      <c r="S36" s="8"/>
    </row>
    <row r="37" spans="9:19" x14ac:dyDescent="0.3">
      <c r="S37" s="8"/>
    </row>
    <row r="38" spans="9:19" x14ac:dyDescent="0.3">
      <c r="S38" s="8"/>
    </row>
    <row r="39" spans="9:19" x14ac:dyDescent="0.3">
      <c r="S39" s="8"/>
    </row>
    <row r="48" spans="9:19" x14ac:dyDescent="0.3">
      <c r="I48" s="14">
        <v>43053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Hector A. Gonzalez</cp:lastModifiedBy>
  <dcterms:created xsi:type="dcterms:W3CDTF">2017-11-29T18:04:32Z</dcterms:created>
  <dcterms:modified xsi:type="dcterms:W3CDTF">2018-12-20T18:46:01Z</dcterms:modified>
</cp:coreProperties>
</file>