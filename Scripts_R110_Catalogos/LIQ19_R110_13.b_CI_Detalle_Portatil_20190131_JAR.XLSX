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38" windowHeight="7598"/>
  </bookViews>
  <sheets>
    <sheet name="PRODUCTO" sheetId="1" r:id="rId1"/>
    <sheet name="Hoja1" sheetId="2" r:id="rId2"/>
  </sheets>
  <definedNames>
    <definedName name="_xlnm._FilterDatabase" localSheetId="0" hidden="1">PRODUCTO!$M$2:$M$53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9" i="1" l="1"/>
  <c r="J48" i="1"/>
  <c r="J47" i="1"/>
  <c r="J46" i="1"/>
  <c r="J44" i="1"/>
  <c r="J42" i="1"/>
  <c r="J41" i="1"/>
  <c r="J39" i="1"/>
  <c r="J38" i="1"/>
  <c r="J37" i="1"/>
  <c r="J36" i="1"/>
  <c r="J34" i="1"/>
  <c r="J32" i="1"/>
  <c r="J31" i="1"/>
  <c r="J29" i="1"/>
  <c r="J28" i="1"/>
  <c r="J27" i="1"/>
  <c r="J26" i="1"/>
  <c r="J24" i="1"/>
  <c r="J22" i="1"/>
  <c r="J21" i="1"/>
  <c r="J19" i="1"/>
  <c r="J18" i="1"/>
  <c r="J17" i="1"/>
  <c r="J16" i="1"/>
  <c r="J14" i="1"/>
  <c r="J12" i="1"/>
  <c r="J11" i="1"/>
  <c r="J9" i="1"/>
  <c r="J8" i="1"/>
  <c r="J7" i="1"/>
  <c r="J6" i="1"/>
  <c r="J4" i="1"/>
  <c r="J43" i="1" l="1"/>
  <c r="J33" i="1"/>
  <c r="J23" i="1"/>
  <c r="J13" i="1"/>
  <c r="J3" i="1"/>
  <c r="J5" i="1" l="1"/>
  <c r="J10" i="1"/>
  <c r="J15" i="1"/>
  <c r="J20" i="1"/>
  <c r="J25" i="1"/>
  <c r="J30" i="1"/>
  <c r="J35" i="1"/>
  <c r="J40" i="1"/>
  <c r="J45" i="1"/>
  <c r="J50" i="1"/>
  <c r="J51" i="1"/>
  <c r="J52" i="1"/>
  <c r="J53" i="1"/>
</calcChain>
</file>

<file path=xl/sharedStrings.xml><?xml version="1.0" encoding="utf-8"?>
<sst xmlns="http://schemas.openxmlformats.org/spreadsheetml/2006/main" count="792" uniqueCount="215">
  <si>
    <t>K_PUNTO_VENTA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</si>
  <si>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</si>
  <si>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</si>
  <si>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</si>
  <si>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</si>
  <si>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</si>
  <si>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</si>
  <si>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</si>
  <si>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</si>
  <si>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</si>
  <si>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</si>
  <si>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</si>
  <si>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</si>
  <si>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</si>
  <si>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</si>
  <si>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</si>
  <si>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</si>
  <si>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</si>
  <si>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</si>
  <si>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</si>
  <si>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</si>
  <si>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</si>
  <si>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</si>
  <si>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</si>
  <si>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</si>
  <si>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</si>
  <si>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</si>
  <si>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</si>
  <si>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</si>
  <si>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</si>
  <si>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</si>
  <si>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</si>
  <si>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</si>
  <si>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</si>
  <si>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</si>
  <si>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</si>
  <si>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</si>
  <si>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</si>
  <si>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</si>
  <si>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</si>
  <si>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</si>
  <si>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</si>
  <si>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</si>
  <si>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</si>
  <si>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</si>
  <si>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</si>
  <si>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</si>
  <si>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</si>
  <si>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</si>
  <si>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</si>
  <si>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</si>
  <si>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</si>
  <si>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</si>
  <si>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</si>
  <si>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</si>
  <si>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</si>
  <si>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</si>
  <si>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</si>
  <si>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</si>
  <si>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</si>
  <si>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</si>
  <si>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</si>
  <si>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</si>
  <si>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</si>
  <si>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</si>
  <si>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</si>
  <si>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</si>
  <si>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</si>
  <si>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</si>
  <si>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</si>
  <si>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</si>
  <si>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</si>
  <si>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</si>
  <si>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</si>
  <si>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</si>
  <si>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</si>
  <si>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</si>
  <si>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</si>
  <si>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</si>
  <si>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</si>
  <si>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</si>
  <si>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</si>
  <si>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</si>
  <si>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</si>
  <si>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</si>
  <si>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</si>
  <si>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</si>
  <si>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</si>
  <si>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</si>
  <si>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</si>
  <si>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</si>
  <si>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</si>
  <si>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</si>
  <si>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</si>
  <si>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</si>
  <si>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</si>
  <si>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</si>
  <si>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</si>
  <si>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</si>
  <si>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</si>
  <si>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</si>
  <si>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</si>
  <si>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</si>
  <si>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</si>
  <si>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</si>
  <si>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</si>
  <si>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</si>
  <si>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</si>
  <si>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</si>
  <si>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</si>
  <si>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MATRICULA</t>
  </si>
  <si>
    <t>ABC123</t>
  </si>
  <si>
    <t>BCD345</t>
  </si>
  <si>
    <t>EDE657</t>
  </si>
  <si>
    <t>FEFE889</t>
  </si>
  <si>
    <t>MAT123</t>
  </si>
  <si>
    <t>MARCA</t>
  </si>
  <si>
    <t>CHEVROLET</t>
  </si>
  <si>
    <t>MODELO</t>
  </si>
  <si>
    <t>KILOMETRAJE</t>
  </si>
  <si>
    <t>SERIE</t>
  </si>
  <si>
    <t>CAPACIDAD</t>
  </si>
  <si>
    <t>N/D</t>
  </si>
  <si>
    <t>DV10365</t>
  </si>
  <si>
    <t>ZTV6503</t>
  </si>
  <si>
    <t>DW31616</t>
  </si>
  <si>
    <t>DX06774</t>
  </si>
  <si>
    <t>DV10363</t>
  </si>
  <si>
    <t>DV10362</t>
  </si>
  <si>
    <t>DY-2983</t>
  </si>
  <si>
    <t>DV10456</t>
  </si>
  <si>
    <t>DV10458</t>
  </si>
  <si>
    <t>DV10419</t>
  </si>
  <si>
    <t>DV10353</t>
  </si>
  <si>
    <t>DV10359</t>
  </si>
  <si>
    <t>GMC</t>
  </si>
  <si>
    <t>GENERAL MOTORSS</t>
  </si>
  <si>
    <t>2006</t>
  </si>
  <si>
    <t>164292</t>
  </si>
  <si>
    <t>141076</t>
  </si>
  <si>
    <t>0</t>
  </si>
  <si>
    <t>1997</t>
  </si>
  <si>
    <t>1578795</t>
  </si>
  <si>
    <t>1990</t>
  </si>
  <si>
    <t>61784</t>
  </si>
  <si>
    <t>1996</t>
  </si>
  <si>
    <t>170980</t>
  </si>
  <si>
    <t>G.M.KODIAK</t>
  </si>
  <si>
    <t>2005</t>
  </si>
  <si>
    <t>1995</t>
  </si>
  <si>
    <t>2099804</t>
  </si>
  <si>
    <t>1992</t>
  </si>
  <si>
    <t>1881350</t>
  </si>
  <si>
    <t>2002</t>
  </si>
  <si>
    <t>2443861</t>
  </si>
  <si>
    <t>1946859</t>
  </si>
  <si>
    <t>1978555</t>
  </si>
  <si>
    <t>1276028</t>
  </si>
  <si>
    <t>GMC C7500</t>
  </si>
  <si>
    <t>2001</t>
  </si>
  <si>
    <t>1733700</t>
  </si>
  <si>
    <t>NISSAN</t>
  </si>
  <si>
    <t>2010</t>
  </si>
  <si>
    <t>29056</t>
  </si>
  <si>
    <t>17711</t>
  </si>
  <si>
    <t>CHEVROLET HEAVY DUTY</t>
  </si>
  <si>
    <t>2007</t>
  </si>
  <si>
    <t>1.9</t>
  </si>
  <si>
    <t>22098</t>
  </si>
  <si>
    <t>1.3</t>
  </si>
  <si>
    <t>228.6</t>
  </si>
  <si>
    <t>31741</t>
  </si>
  <si>
    <t>8911979</t>
  </si>
  <si>
    <t>NISSAN VPM</t>
  </si>
  <si>
    <t>2008</t>
  </si>
  <si>
    <t>56309</t>
  </si>
  <si>
    <t>3GBKC34G55M118806</t>
  </si>
  <si>
    <t>3GBKC34G75M118922</t>
  </si>
  <si>
    <t>1GDJ7H1E4J901664</t>
  </si>
  <si>
    <t>3GBKC34GX5M101984</t>
  </si>
  <si>
    <t>3GBKC34G55M118837</t>
  </si>
  <si>
    <t>3GBKC34GX5M118915</t>
  </si>
  <si>
    <t>1GDG6H1P9RJ519414</t>
  </si>
  <si>
    <t>3GCM7HIMXVM501317</t>
  </si>
  <si>
    <t>1GBM7H1P2PJ101461</t>
  </si>
  <si>
    <t>1G1GDJ6H1BXXJ504086</t>
  </si>
  <si>
    <t>3GBJ6H1E45M105516</t>
  </si>
  <si>
    <t>1G017H1P45J520018</t>
  </si>
  <si>
    <t>1GDG6H1T7PJ504326</t>
  </si>
  <si>
    <t>3GBM7H1E62M104342</t>
  </si>
  <si>
    <t>3GBM7H1E52M104266</t>
  </si>
  <si>
    <t>1GBL7H1PXRJ1078</t>
  </si>
  <si>
    <t>1GDG6H1P6TJ504599</t>
  </si>
  <si>
    <t>1GDJ7H1E12J505377</t>
  </si>
  <si>
    <t>013FB0473C4F544B</t>
  </si>
  <si>
    <t>0136B07390508612</t>
  </si>
  <si>
    <t>3N6DD14577K040339</t>
  </si>
  <si>
    <t>013AB067801076420</t>
  </si>
  <si>
    <t>3N6DD14547K040525</t>
  </si>
  <si>
    <t>3N6DD14568K002327</t>
  </si>
  <si>
    <t>0144S02470505EAB</t>
  </si>
  <si>
    <t>3NGDD14528K021599</t>
  </si>
  <si>
    <t>5000</t>
  </si>
  <si>
    <t>12200</t>
  </si>
  <si>
    <t>12500</t>
  </si>
  <si>
    <t>10000</t>
  </si>
  <si>
    <t>8250</t>
  </si>
  <si>
    <t>8670</t>
  </si>
  <si>
    <t>10500</t>
  </si>
  <si>
    <t>6850</t>
  </si>
  <si>
    <t>4750</t>
  </si>
  <si>
    <t>3500</t>
  </si>
  <si>
    <t>1866</t>
  </si>
  <si>
    <t>tipo</t>
  </si>
  <si>
    <t>K_DETALLE_PORTATIL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</si>
</sst>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R53"/>
  <sheetViews>
    <sheetView showGridLines="0" tabSelected="1" zoomScale="110" zoomScaleNormal="110" workbookViewId="0">
      <pane xSplit="2" ySplit="2" topLeftCell="D4" activePane="bottomRight" state="frozen"/>
      <selection pane="topRight" activeCell="C1" sqref="C1"/>
      <selection pane="bottomLeft" activeCell="A3" sqref="A3"/>
      <selection pane="bottomRight" activeCell="J4" sqref="J4:J53"/>
    </sheetView>
  </sheetViews>
  <sheetFormatPr baseColWidth="10" defaultRowHeight="14.25" x14ac:dyDescent="0.45"/>
  <cols>
    <col min="1" max="1" width="5.19921875" customWidth="1"/>
    <col min="2" max="2" width="13.1328125" style="3" bestFit="1" customWidth="1"/>
    <col min="3" max="3" width="15.06640625" bestFit="1" customWidth="1"/>
    <col min="4" max="4" width="10.3984375" bestFit="1" customWidth="1"/>
    <col min="5" max="5" width="20.796875" style="12" bestFit="1" customWidth="1"/>
    <col min="6" max="6" width="8.06640625" style="13" bestFit="1" customWidth="1"/>
    <col min="7" max="7" width="12" style="13" bestFit="1" customWidth="1"/>
    <col min="8" max="8" width="19.86328125" style="1" bestFit="1" customWidth="1"/>
    <col min="9" max="9" width="10.265625" style="1" bestFit="1" customWidth="1"/>
    <col min="10" max="10" width="122.1328125" bestFit="1" customWidth="1"/>
    <col min="12" max="12" width="28.53125" bestFit="1" customWidth="1"/>
    <col min="13" max="13" width="21.53125" bestFit="1" customWidth="1"/>
    <col min="14" max="14" width="12" bestFit="1" customWidth="1"/>
    <col min="15" max="15" width="31.86328125" customWidth="1"/>
    <col min="16" max="16" width="13.86328125" bestFit="1" customWidth="1"/>
  </cols>
  <sheetData>
    <row r="2" spans="2:18" s="4" customFormat="1" x14ac:dyDescent="0.45">
      <c r="B2" s="3" t="s">
        <v>214</v>
      </c>
      <c r="C2" s="4" t="s">
        <v>0</v>
      </c>
      <c r="D2" s="4" t="s">
        <v>110</v>
      </c>
      <c r="E2" s="10" t="s">
        <v>116</v>
      </c>
      <c r="F2" s="11" t="s">
        <v>118</v>
      </c>
      <c r="G2" s="11" t="s">
        <v>119</v>
      </c>
      <c r="H2" s="5" t="s">
        <v>120</v>
      </c>
      <c r="I2" s="5" t="s">
        <v>121</v>
      </c>
      <c r="M2" s="4" t="s">
        <v>213</v>
      </c>
      <c r="R2" s="2"/>
    </row>
    <row r="3" spans="2:18" hidden="1" x14ac:dyDescent="0.45">
      <c r="B3" s="3">
        <v>1</v>
      </c>
      <c r="C3">
        <v>1</v>
      </c>
      <c r="D3" t="s">
        <v>111</v>
      </c>
      <c r="E3" s="12" t="s">
        <v>122</v>
      </c>
      <c r="F3" s="12" t="s">
        <v>122</v>
      </c>
      <c r="G3" s="12">
        <v>0</v>
      </c>
      <c r="H3" s="8" t="s">
        <v>122</v>
      </c>
      <c r="I3" s="14">
        <v>0</v>
      </c>
      <c r="J3" s="2" t="e">
        <f>CONCATENATE("EXECUTE [dbo].[PG_CI_DETALLE_AUTOTANQUE] 0,0, ",B3,", ",C3,", ",#REF!,",",#REF!,",'",D3,"','",E3,"','",F3,"',",G3,",'",H3,"',",I3,",'",#REF!,"','",#REF!,"','",#REF!,"'; ")</f>
        <v>#REF!</v>
      </c>
      <c r="M3" s="8">
        <v>1</v>
      </c>
      <c r="N3" s="1"/>
      <c r="R3" s="2"/>
    </row>
    <row r="4" spans="2:18" x14ac:dyDescent="0.45">
      <c r="B4" s="3">
        <v>1</v>
      </c>
      <c r="C4">
        <v>2</v>
      </c>
      <c r="D4" t="s">
        <v>112</v>
      </c>
      <c r="E4" s="12" t="s">
        <v>117</v>
      </c>
      <c r="F4" s="12">
        <v>2006</v>
      </c>
      <c r="G4" s="12">
        <v>233859</v>
      </c>
      <c r="H4" s="8" t="s">
        <v>176</v>
      </c>
      <c r="I4" s="14">
        <v>5000</v>
      </c>
      <c r="J4" s="2" t="str">
        <f>CONCATENATE("EXECUTE [dbo].[PG_CI_DETALLE_PORTATIL] 0,0, ",B4,", ",C4,",'",D4,"','",E4,"','",F4,"',",G4,",'",H4,"',",I4,"; ")</f>
        <v xml:space="preserve">EXECUTE [dbo].[PG_CI_DETALLE_PORTATIL] 0,0, 1, 2,'BCD345','CHEVROLET','2006',233859,'3GBKC34G55M118806',5000; </v>
      </c>
      <c r="M4" s="8">
        <v>3</v>
      </c>
      <c r="O4" s="6"/>
    </row>
    <row r="5" spans="2:18" hidden="1" x14ac:dyDescent="0.45">
      <c r="B5" s="3">
        <v>3</v>
      </c>
      <c r="C5">
        <v>3</v>
      </c>
      <c r="D5" t="s">
        <v>113</v>
      </c>
      <c r="E5" s="12" t="s">
        <v>117</v>
      </c>
      <c r="F5" s="12">
        <v>2006</v>
      </c>
      <c r="G5" s="12">
        <v>861705</v>
      </c>
      <c r="H5" s="8" t="s">
        <v>177</v>
      </c>
      <c r="I5" s="14">
        <v>5000</v>
      </c>
      <c r="J5" s="2" t="e">
        <f>CONCATENATE("EXECUTE [dbo].[PG_CI_DETALLE_PUNTO_VENTA] 0,0, ",B5,", ",C5,", ",#REF!,",",#REF!,",'",D5,"','",E5,"','",F5,"',",G5,",'",H5,"',",I5,",'",#REF!,"','",#REF!,"','",#REF!,"'; ")</f>
        <v>#REF!</v>
      </c>
      <c r="M5" s="8">
        <v>2</v>
      </c>
      <c r="O5" s="7"/>
    </row>
    <row r="6" spans="2:18" x14ac:dyDescent="0.45">
      <c r="B6" s="3">
        <v>2</v>
      </c>
      <c r="C6">
        <v>4</v>
      </c>
      <c r="D6" t="s">
        <v>114</v>
      </c>
      <c r="E6" s="12" t="s">
        <v>135</v>
      </c>
      <c r="F6" s="12">
        <v>2002</v>
      </c>
      <c r="G6" s="12">
        <v>1522039</v>
      </c>
      <c r="H6" s="8" t="s">
        <v>178</v>
      </c>
      <c r="I6" s="14">
        <v>11315</v>
      </c>
      <c r="J6" s="2" t="str">
        <f t="shared" ref="J6:J9" si="0">CONCATENATE("EXECUTE [dbo].[PG_CI_DETALLE_PORTATIL] 0,0, ",B6,", ",C6,",'",D6,"','",E6,"','",F6,"',",G6,",'",H6,"',",I6,"; ")</f>
        <v xml:space="preserve">EXECUTE [dbo].[PG_CI_DETALLE_PORTATIL] 0,0, 2, 4,'FEFE889','GMC','2002',1522039,'1GDJ7H1E4J901664',11315; </v>
      </c>
      <c r="M6" s="8">
        <v>3</v>
      </c>
      <c r="O6" s="7"/>
    </row>
    <row r="7" spans="2:18" x14ac:dyDescent="0.45">
      <c r="B7" s="3">
        <v>3</v>
      </c>
      <c r="C7">
        <v>5</v>
      </c>
      <c r="D7" t="s">
        <v>115</v>
      </c>
      <c r="E7" s="12" t="s">
        <v>136</v>
      </c>
      <c r="F7" s="12">
        <v>2005</v>
      </c>
      <c r="G7" s="12">
        <v>0</v>
      </c>
      <c r="H7" s="8" t="s">
        <v>179</v>
      </c>
      <c r="I7" s="14">
        <v>5000</v>
      </c>
      <c r="J7" s="2" t="str">
        <f t="shared" si="0"/>
        <v xml:space="preserve">EXECUTE [dbo].[PG_CI_DETALLE_PORTATIL] 0,0, 3, 5,'MAT123','GENERAL MOTORSS','2005',0,'3GBKC34GX5M101984',5000; </v>
      </c>
      <c r="M7" s="8">
        <v>3</v>
      </c>
    </row>
    <row r="8" spans="2:18" x14ac:dyDescent="0.45">
      <c r="B8" s="3">
        <v>4</v>
      </c>
      <c r="C8">
        <v>6</v>
      </c>
      <c r="D8" t="s">
        <v>122</v>
      </c>
      <c r="E8" s="12" t="s">
        <v>117</v>
      </c>
      <c r="F8" s="12" t="s">
        <v>137</v>
      </c>
      <c r="G8" s="12" t="s">
        <v>138</v>
      </c>
      <c r="H8" s="8" t="s">
        <v>180</v>
      </c>
      <c r="I8" s="14">
        <v>4300</v>
      </c>
      <c r="J8" s="2" t="str">
        <f t="shared" si="0"/>
        <v xml:space="preserve">EXECUTE [dbo].[PG_CI_DETALLE_PORTATIL] 0,0, 4, 6,'N/D','CHEVROLET','2006',164292,'3GBKC34G55M118837',4300; </v>
      </c>
      <c r="M8" s="8">
        <v>3</v>
      </c>
    </row>
    <row r="9" spans="2:18" x14ac:dyDescent="0.45">
      <c r="B9" s="3">
        <v>5</v>
      </c>
      <c r="C9">
        <v>7</v>
      </c>
      <c r="D9" t="s">
        <v>123</v>
      </c>
      <c r="E9" s="12" t="s">
        <v>117</v>
      </c>
      <c r="F9" s="12" t="s">
        <v>137</v>
      </c>
      <c r="G9" s="12" t="s">
        <v>139</v>
      </c>
      <c r="H9" s="1" t="s">
        <v>181</v>
      </c>
      <c r="I9" s="13" t="s">
        <v>202</v>
      </c>
      <c r="J9" s="2" t="str">
        <f t="shared" si="0"/>
        <v xml:space="preserve">EXECUTE [dbo].[PG_CI_DETALLE_PORTATIL] 0,0, 5, 7,'DV10365','CHEVROLET','2006',141076,'3GBKC34GX5M118915',5000; </v>
      </c>
      <c r="M9" s="8">
        <v>3</v>
      </c>
    </row>
    <row r="10" spans="2:18" hidden="1" x14ac:dyDescent="0.45">
      <c r="B10" s="3">
        <v>8</v>
      </c>
      <c r="C10">
        <v>8</v>
      </c>
      <c r="D10" t="s">
        <v>122</v>
      </c>
      <c r="E10" s="12" t="s">
        <v>122</v>
      </c>
      <c r="F10" s="12" t="s">
        <v>122</v>
      </c>
      <c r="G10" s="12" t="s">
        <v>140</v>
      </c>
      <c r="H10" s="1" t="s">
        <v>122</v>
      </c>
      <c r="I10" s="13" t="s">
        <v>203</v>
      </c>
      <c r="J10" s="2" t="e">
        <f>CONCATENATE("EXECUTE [dbo].[PG_CI_DETALLE_PUNTO_VENTA] 0,0, ",B10,", ",C10,", ",#REF!,",",#REF!,",'",D10,"','",E10,"','",F10,"',",G10,",'",H10,"',",I10,",'",#REF!,"','",#REF!,"','",#REF!,"'; ")</f>
        <v>#REF!</v>
      </c>
      <c r="M10" s="8">
        <v>2</v>
      </c>
    </row>
    <row r="11" spans="2:18" x14ac:dyDescent="0.45">
      <c r="B11" s="3">
        <v>6</v>
      </c>
      <c r="C11">
        <v>9</v>
      </c>
      <c r="D11" s="15" t="s">
        <v>124</v>
      </c>
      <c r="E11" s="12" t="s">
        <v>135</v>
      </c>
      <c r="F11" s="12" t="s">
        <v>141</v>
      </c>
      <c r="G11" s="12" t="s">
        <v>142</v>
      </c>
      <c r="H11" s="1" t="s">
        <v>182</v>
      </c>
      <c r="I11" s="13" t="s">
        <v>204</v>
      </c>
      <c r="J11" s="2" t="str">
        <f t="shared" ref="J11:J12" si="1">CONCATENATE("EXECUTE [dbo].[PG_CI_DETALLE_PORTATIL] 0,0, ",B11,", ",C11,",'",D11,"','",E11,"','",F11,"',",G11,",'",H11,"',",I11,"; ")</f>
        <v xml:space="preserve">EXECUTE [dbo].[PG_CI_DETALLE_PORTATIL] 0,0, 6, 9,'ZTV6503','GMC','1997',1578795,'1GDG6H1P9RJ519414',12500; </v>
      </c>
      <c r="M11" s="8">
        <v>3</v>
      </c>
    </row>
    <row r="12" spans="2:18" x14ac:dyDescent="0.45">
      <c r="B12" s="3">
        <v>7</v>
      </c>
      <c r="C12">
        <v>10</v>
      </c>
      <c r="D12" t="s">
        <v>125</v>
      </c>
      <c r="E12" s="12" t="s">
        <v>122</v>
      </c>
      <c r="F12" s="12" t="s">
        <v>122</v>
      </c>
      <c r="G12" s="12" t="s">
        <v>140</v>
      </c>
      <c r="H12" s="1" t="s">
        <v>122</v>
      </c>
      <c r="I12" s="13" t="s">
        <v>204</v>
      </c>
      <c r="J12" s="2" t="str">
        <f t="shared" si="1"/>
        <v xml:space="preserve">EXECUTE [dbo].[PG_CI_DETALLE_PORTATIL] 0,0, 7, 10,'DW31616','N/D','N/D',0,'N/D',12500; </v>
      </c>
      <c r="M12" s="8">
        <v>3</v>
      </c>
      <c r="O12" s="15"/>
    </row>
    <row r="13" spans="2:18" hidden="1" x14ac:dyDescent="0.45">
      <c r="B13" s="3">
        <v>2</v>
      </c>
      <c r="C13">
        <v>11</v>
      </c>
      <c r="D13" t="s">
        <v>126</v>
      </c>
      <c r="E13" s="12" t="s">
        <v>135</v>
      </c>
      <c r="F13" s="12" t="s">
        <v>122</v>
      </c>
      <c r="G13" s="12" t="s">
        <v>140</v>
      </c>
      <c r="H13" s="1" t="s">
        <v>183</v>
      </c>
      <c r="I13" s="13" t="s">
        <v>204</v>
      </c>
      <c r="J13" s="2" t="e">
        <f>CONCATENATE("EXECUTE [dbo].[PG_CI_DETALLE_AUTOTANQUE] 0,0, ",B13,", ",C13,", ",#REF!,",",#REF!,",'",D13,"','",E13,"','",F13,"',",G13,",'",H13,"',",I13,",'",#REF!,"','",#REF!,"','",#REF!,"'; ")</f>
        <v>#REF!</v>
      </c>
      <c r="M13" s="8">
        <v>1</v>
      </c>
    </row>
    <row r="14" spans="2:18" x14ac:dyDescent="0.45">
      <c r="B14" s="3">
        <v>8</v>
      </c>
      <c r="C14">
        <v>12</v>
      </c>
      <c r="D14" t="s">
        <v>127</v>
      </c>
      <c r="E14" s="12" t="s">
        <v>135</v>
      </c>
      <c r="F14" s="12" t="s">
        <v>143</v>
      </c>
      <c r="G14" s="12" t="s">
        <v>144</v>
      </c>
      <c r="H14" s="1" t="s">
        <v>184</v>
      </c>
      <c r="I14" s="13" t="s">
        <v>204</v>
      </c>
      <c r="J14" s="2" t="str">
        <f>CONCATENATE("EXECUTE [dbo].[PG_CI_DETALLE_PORTATIL] 0,0, ",B14,", ",C14,",'",D14,"','",E14,"','",F14,"',",G14,",'",H14,"',",I14,"; ")</f>
        <v xml:space="preserve">EXECUTE [dbo].[PG_CI_DETALLE_PORTATIL] 0,0, 8, 12,'DV10363','GMC','1990',61784,'1GBM7H1P2PJ101461',12500; </v>
      </c>
      <c r="M14" s="8">
        <v>3</v>
      </c>
    </row>
    <row r="15" spans="2:18" hidden="1" x14ac:dyDescent="0.45">
      <c r="B15" s="3">
        <v>13</v>
      </c>
      <c r="C15">
        <v>13</v>
      </c>
      <c r="D15" t="s">
        <v>122</v>
      </c>
      <c r="E15" s="12" t="s">
        <v>135</v>
      </c>
      <c r="F15" s="12" t="s">
        <v>145</v>
      </c>
      <c r="G15" s="12" t="s">
        <v>146</v>
      </c>
      <c r="H15" s="1" t="s">
        <v>185</v>
      </c>
      <c r="I15" s="13" t="s">
        <v>205</v>
      </c>
      <c r="J15" s="2" t="e">
        <f>CONCATENATE("EXECUTE [dbo].[PG_CI_DETALLE_PUNTO_VENTA] 0,0, ",B15,", ",C15,", ",#REF!,",",#REF!,",'",D15,"','",E15,"','",F15,"',",G15,",'",H15,"',",I15,",'",#REF!,"','",#REF!,"','",#REF!,"'; ")</f>
        <v>#REF!</v>
      </c>
      <c r="M15" s="8">
        <v>2</v>
      </c>
    </row>
    <row r="16" spans="2:18" x14ac:dyDescent="0.45">
      <c r="B16" s="3">
        <v>9</v>
      </c>
      <c r="C16">
        <v>14</v>
      </c>
      <c r="D16" t="s">
        <v>122</v>
      </c>
      <c r="E16" s="12" t="s">
        <v>147</v>
      </c>
      <c r="F16" s="12" t="s">
        <v>148</v>
      </c>
      <c r="G16" s="12" t="s">
        <v>140</v>
      </c>
      <c r="H16" s="1" t="s">
        <v>186</v>
      </c>
      <c r="I16" s="13" t="s">
        <v>206</v>
      </c>
      <c r="J16" s="2" t="str">
        <f t="shared" ref="J16:J19" si="2">CONCATENATE("EXECUTE [dbo].[PG_CI_DETALLE_PORTATIL] 0,0, ",B16,", ",C16,",'",D16,"','",E16,"','",F16,"',",G16,",'",H16,"',",I16,"; ")</f>
        <v xml:space="preserve">EXECUTE [dbo].[PG_CI_DETALLE_PORTATIL] 0,0, 9, 14,'N/D','G.M.KODIAK','2005',0,'3GBJ6H1E45M105516',8250; </v>
      </c>
      <c r="M16" s="8">
        <v>3</v>
      </c>
    </row>
    <row r="17" spans="2:13" x14ac:dyDescent="0.45">
      <c r="B17" s="3">
        <v>10</v>
      </c>
      <c r="C17">
        <v>15</v>
      </c>
      <c r="D17" t="s">
        <v>122</v>
      </c>
      <c r="E17" s="12" t="s">
        <v>135</v>
      </c>
      <c r="F17" s="12" t="s">
        <v>149</v>
      </c>
      <c r="G17" s="12" t="s">
        <v>150</v>
      </c>
      <c r="H17" s="1" t="s">
        <v>187</v>
      </c>
      <c r="I17" s="13" t="s">
        <v>204</v>
      </c>
      <c r="J17" s="2" t="str">
        <f t="shared" si="2"/>
        <v xml:space="preserve">EXECUTE [dbo].[PG_CI_DETALLE_PORTATIL] 0,0, 10, 15,'N/D','GMC','1995',2099804,'1G017H1P45J520018',12500; </v>
      </c>
      <c r="M17" s="8">
        <v>3</v>
      </c>
    </row>
    <row r="18" spans="2:13" x14ac:dyDescent="0.45">
      <c r="B18" s="3">
        <v>11</v>
      </c>
      <c r="C18">
        <v>16</v>
      </c>
      <c r="D18" t="s">
        <v>128</v>
      </c>
      <c r="E18" s="12" t="s">
        <v>135</v>
      </c>
      <c r="F18" s="12" t="s">
        <v>151</v>
      </c>
      <c r="G18" s="12" t="s">
        <v>152</v>
      </c>
      <c r="H18" s="1" t="s">
        <v>188</v>
      </c>
      <c r="I18" s="13" t="s">
        <v>207</v>
      </c>
      <c r="J18" s="2" t="str">
        <f t="shared" si="2"/>
        <v xml:space="preserve">EXECUTE [dbo].[PG_CI_DETALLE_PORTATIL] 0,0, 11, 16,'DV10362','GMC','1992',1881350,'1GDG6H1T7PJ504326',8670; </v>
      </c>
      <c r="M18" s="8">
        <v>3</v>
      </c>
    </row>
    <row r="19" spans="2:13" x14ac:dyDescent="0.45">
      <c r="B19" s="3">
        <v>12</v>
      </c>
      <c r="C19">
        <v>17</v>
      </c>
      <c r="D19" t="s">
        <v>122</v>
      </c>
      <c r="E19" s="12" t="s">
        <v>117</v>
      </c>
      <c r="F19" s="12" t="s">
        <v>153</v>
      </c>
      <c r="G19" s="12" t="s">
        <v>154</v>
      </c>
      <c r="H19" s="1" t="s">
        <v>189</v>
      </c>
      <c r="I19" s="13" t="s">
        <v>204</v>
      </c>
      <c r="J19" s="2" t="str">
        <f t="shared" si="2"/>
        <v xml:space="preserve">EXECUTE [dbo].[PG_CI_DETALLE_PORTATIL] 0,0, 12, 17,'N/D','CHEVROLET','2002',2443861,'3GBM7H1E62M104342',12500; </v>
      </c>
      <c r="M19" s="8">
        <v>3</v>
      </c>
    </row>
    <row r="20" spans="2:13" hidden="1" x14ac:dyDescent="0.45">
      <c r="B20" s="3">
        <v>18</v>
      </c>
      <c r="C20">
        <v>18</v>
      </c>
      <c r="D20" t="s">
        <v>122</v>
      </c>
      <c r="E20" s="12" t="s">
        <v>117</v>
      </c>
      <c r="F20" s="12" t="s">
        <v>153</v>
      </c>
      <c r="G20" s="12" t="s">
        <v>155</v>
      </c>
      <c r="H20" s="1" t="s">
        <v>190</v>
      </c>
      <c r="I20" s="13" t="s">
        <v>204</v>
      </c>
      <c r="J20" s="2" t="e">
        <f>CONCATENATE("EXECUTE [dbo].[PG_CI_DETALLE_PUNTO_VENTA] 0,0, ",B20,", ",C20,", ",#REF!,",",#REF!,",'",D20,"','",E20,"','",F20,"',",G20,",'",H20,"',",I20,",'",#REF!,"','",#REF!,"','",#REF!,"'; ")</f>
        <v>#REF!</v>
      </c>
      <c r="M20" s="8">
        <v>2</v>
      </c>
    </row>
    <row r="21" spans="2:13" x14ac:dyDescent="0.45">
      <c r="B21" s="3">
        <v>13</v>
      </c>
      <c r="C21">
        <v>19</v>
      </c>
      <c r="D21" t="s">
        <v>129</v>
      </c>
      <c r="E21" s="12" t="s">
        <v>122</v>
      </c>
      <c r="F21" s="12" t="s">
        <v>122</v>
      </c>
      <c r="G21" s="12" t="s">
        <v>140</v>
      </c>
      <c r="H21" s="1" t="s">
        <v>122</v>
      </c>
      <c r="I21" s="13" t="s">
        <v>204</v>
      </c>
      <c r="J21" s="2" t="str">
        <f t="shared" ref="J21:J22" si="3">CONCATENATE("EXECUTE [dbo].[PG_CI_DETALLE_PORTATIL] 0,0, ",B21,", ",C21,",'",D21,"','",E21,"','",F21,"',",G21,",'",H21,"',",I21,"; ")</f>
        <v xml:space="preserve">EXECUTE [dbo].[PG_CI_DETALLE_PORTATIL] 0,0, 13, 19,'DY-2983','N/D','N/D',0,'N/D',12500; </v>
      </c>
      <c r="M21" s="8">
        <v>3</v>
      </c>
    </row>
    <row r="22" spans="2:13" x14ac:dyDescent="0.45">
      <c r="B22" s="3">
        <v>14</v>
      </c>
      <c r="C22">
        <v>20</v>
      </c>
      <c r="D22" t="s">
        <v>122</v>
      </c>
      <c r="E22" s="12" t="s">
        <v>135</v>
      </c>
      <c r="F22" s="12" t="s">
        <v>122</v>
      </c>
      <c r="G22" s="12" t="s">
        <v>140</v>
      </c>
      <c r="H22" s="1" t="s">
        <v>122</v>
      </c>
      <c r="I22" s="13" t="s">
        <v>204</v>
      </c>
      <c r="J22" s="2" t="str">
        <f t="shared" si="3"/>
        <v xml:space="preserve">EXECUTE [dbo].[PG_CI_DETALLE_PORTATIL] 0,0, 14, 20,'N/D','GMC','N/D',0,'N/D',12500; </v>
      </c>
      <c r="M22" s="8">
        <v>3</v>
      </c>
    </row>
    <row r="23" spans="2:13" hidden="1" x14ac:dyDescent="0.45">
      <c r="B23" s="3">
        <v>3</v>
      </c>
      <c r="C23">
        <v>21</v>
      </c>
      <c r="D23" t="s">
        <v>122</v>
      </c>
      <c r="E23" s="12" t="s">
        <v>135</v>
      </c>
      <c r="F23" s="12" t="s">
        <v>141</v>
      </c>
      <c r="G23" s="12" t="s">
        <v>156</v>
      </c>
      <c r="H23" s="1" t="s">
        <v>191</v>
      </c>
      <c r="I23" s="13" t="s">
        <v>204</v>
      </c>
      <c r="J23" s="2" t="e">
        <f>CONCATENATE("EXECUTE [dbo].[PG_CI_DETALLE_AUTOTANQUE] 0,0, ",B23,", ",C23,", ",#REF!,",",#REF!,",'",D23,"','",E23,"','",F23,"',",G23,",'",H23,"',",I23,",'",#REF!,"','",#REF!,"','",#REF!,"'; ")</f>
        <v>#REF!</v>
      </c>
      <c r="M23" s="8">
        <v>1</v>
      </c>
    </row>
    <row r="24" spans="2:13" x14ac:dyDescent="0.45">
      <c r="B24" s="3">
        <v>15</v>
      </c>
      <c r="C24">
        <v>22</v>
      </c>
      <c r="D24" t="s">
        <v>130</v>
      </c>
      <c r="E24" s="12" t="s">
        <v>135</v>
      </c>
      <c r="F24" s="12" t="s">
        <v>149</v>
      </c>
      <c r="G24" s="12" t="s">
        <v>157</v>
      </c>
      <c r="H24" s="1" t="s">
        <v>192</v>
      </c>
      <c r="I24" s="13" t="s">
        <v>204</v>
      </c>
      <c r="J24" s="2" t="str">
        <f>CONCATENATE("EXECUTE [dbo].[PG_CI_DETALLE_PORTATIL] 0,0, ",B24,", ",C24,",'",D24,"','",E24,"','",F24,"',",G24,",'",H24,"',",I24,"; ")</f>
        <v xml:space="preserve">EXECUTE [dbo].[PG_CI_DETALLE_PORTATIL] 0,0, 15, 22,'DV10456','GMC','1995',1276028,'1GDG6H1P6TJ504599',12500; </v>
      </c>
      <c r="M24" s="8">
        <v>3</v>
      </c>
    </row>
    <row r="25" spans="2:13" hidden="1" x14ac:dyDescent="0.45">
      <c r="B25" s="3">
        <v>23</v>
      </c>
      <c r="C25">
        <v>23</v>
      </c>
      <c r="D25" t="s">
        <v>131</v>
      </c>
      <c r="E25" s="12" t="s">
        <v>158</v>
      </c>
      <c r="F25" s="12" t="s">
        <v>159</v>
      </c>
      <c r="G25" s="12" t="s">
        <v>160</v>
      </c>
      <c r="H25" s="1" t="s">
        <v>193</v>
      </c>
      <c r="I25" s="13" t="s">
        <v>208</v>
      </c>
      <c r="J25" s="2" t="e">
        <f>CONCATENATE("EXECUTE [dbo].[PG_CI_DETALLE_PUNTO_VENTA] 0,0, ",B25,", ",C25,", ",#REF!,",",#REF!,",'",D25,"','",E25,"','",F25,"',",G25,",'",H25,"',",I25,",'",#REF!,"','",#REF!,"','",#REF!,"'; ")</f>
        <v>#REF!</v>
      </c>
      <c r="M25" s="8">
        <v>2</v>
      </c>
    </row>
    <row r="26" spans="2:13" x14ac:dyDescent="0.45">
      <c r="B26" s="3">
        <v>16</v>
      </c>
      <c r="C26">
        <v>24</v>
      </c>
      <c r="D26" t="s">
        <v>122</v>
      </c>
      <c r="E26" s="12" t="s">
        <v>135</v>
      </c>
      <c r="F26" s="12" t="s">
        <v>122</v>
      </c>
      <c r="G26" s="12" t="s">
        <v>140</v>
      </c>
      <c r="H26" s="1" t="s">
        <v>122</v>
      </c>
      <c r="I26" s="13" t="s">
        <v>209</v>
      </c>
      <c r="J26" s="2" t="str">
        <f t="shared" ref="J26:J29" si="4">CONCATENATE("EXECUTE [dbo].[PG_CI_DETALLE_PORTATIL] 0,0, ",B26,", ",C26,",'",D26,"','",E26,"','",F26,"',",G26,",'",H26,"',",I26,"; ")</f>
        <v xml:space="preserve">EXECUTE [dbo].[PG_CI_DETALLE_PORTATIL] 0,0, 16, 24,'N/D','GMC','N/D',0,'N/D',6850; </v>
      </c>
      <c r="M26" s="8">
        <v>3</v>
      </c>
    </row>
    <row r="27" spans="2:13" x14ac:dyDescent="0.45">
      <c r="B27" s="3">
        <v>17</v>
      </c>
      <c r="C27">
        <v>25</v>
      </c>
      <c r="D27" t="s">
        <v>122</v>
      </c>
      <c r="E27" s="12" t="s">
        <v>161</v>
      </c>
      <c r="F27" s="12" t="s">
        <v>162</v>
      </c>
      <c r="G27" s="12" t="s">
        <v>163</v>
      </c>
      <c r="H27" s="1" t="s">
        <v>194</v>
      </c>
      <c r="I27" s="13" t="s">
        <v>140</v>
      </c>
      <c r="J27" s="2" t="str">
        <f t="shared" si="4"/>
        <v xml:space="preserve">EXECUTE [dbo].[PG_CI_DETALLE_PORTATIL] 0,0, 17, 25,'N/D','NISSAN','2010',29056,'013FB0473C4F544B',0; </v>
      </c>
      <c r="M27" s="8">
        <v>3</v>
      </c>
    </row>
    <row r="28" spans="2:13" x14ac:dyDescent="0.45">
      <c r="B28" s="3">
        <v>18</v>
      </c>
      <c r="C28">
        <v>26</v>
      </c>
      <c r="D28" t="s">
        <v>122</v>
      </c>
      <c r="E28" s="12" t="s">
        <v>161</v>
      </c>
      <c r="F28" s="12" t="s">
        <v>162</v>
      </c>
      <c r="G28" s="12" t="s">
        <v>164</v>
      </c>
      <c r="H28" s="1" t="s">
        <v>195</v>
      </c>
      <c r="I28" s="13" t="s">
        <v>140</v>
      </c>
      <c r="J28" s="2" t="str">
        <f t="shared" si="4"/>
        <v xml:space="preserve">EXECUTE [dbo].[PG_CI_DETALLE_PORTATIL] 0,0, 18, 26,'N/D','NISSAN','2010',17711,'0136B07390508612',0; </v>
      </c>
      <c r="M28" s="8">
        <v>3</v>
      </c>
    </row>
    <row r="29" spans="2:13" x14ac:dyDescent="0.45">
      <c r="B29" s="3">
        <v>19</v>
      </c>
      <c r="C29">
        <v>27</v>
      </c>
      <c r="D29" t="s">
        <v>132</v>
      </c>
      <c r="E29" s="12" t="s">
        <v>165</v>
      </c>
      <c r="F29" s="12" t="s">
        <v>122</v>
      </c>
      <c r="G29" s="12" t="s">
        <v>140</v>
      </c>
      <c r="H29" s="1" t="s">
        <v>122</v>
      </c>
      <c r="I29" s="13" t="s">
        <v>140</v>
      </c>
      <c r="J29" s="2" t="str">
        <f t="shared" si="4"/>
        <v xml:space="preserve">EXECUTE [dbo].[PG_CI_DETALLE_PORTATIL] 0,0, 19, 27,'DV10419','CHEVROLET HEAVY DUTY','N/D',0,'N/D',0; </v>
      </c>
      <c r="M29" s="8">
        <v>3</v>
      </c>
    </row>
    <row r="30" spans="2:13" hidden="1" x14ac:dyDescent="0.45">
      <c r="B30" s="3">
        <v>28</v>
      </c>
      <c r="C30">
        <v>28</v>
      </c>
      <c r="D30" t="s">
        <v>122</v>
      </c>
      <c r="E30" s="12" t="s">
        <v>161</v>
      </c>
      <c r="F30" s="12" t="s">
        <v>166</v>
      </c>
      <c r="G30" s="12" t="s">
        <v>167</v>
      </c>
      <c r="H30" s="1" t="s">
        <v>196</v>
      </c>
      <c r="I30" s="13" t="s">
        <v>140</v>
      </c>
      <c r="J30" s="2" t="e">
        <f>CONCATENATE("EXECUTE [dbo].[PG_CI_DETALLE_PUNTO_VENTA] 0,0, ",B30,", ",C30,", ",#REF!,",",#REF!,",'",D30,"','",E30,"','",F30,"',",G30,",'",H30,"',",I30,",'",#REF!,"','",#REF!,"','",#REF!,"'; ")</f>
        <v>#REF!</v>
      </c>
      <c r="M30" s="8">
        <v>2</v>
      </c>
    </row>
    <row r="31" spans="2:13" x14ac:dyDescent="0.45">
      <c r="B31" s="3">
        <v>20</v>
      </c>
      <c r="C31">
        <v>29</v>
      </c>
      <c r="D31" t="s">
        <v>122</v>
      </c>
      <c r="E31" s="12" t="s">
        <v>161</v>
      </c>
      <c r="F31" s="12" t="s">
        <v>162</v>
      </c>
      <c r="G31" s="12" t="s">
        <v>140</v>
      </c>
      <c r="H31" s="1" t="s">
        <v>195</v>
      </c>
      <c r="I31" s="13" t="s">
        <v>140</v>
      </c>
      <c r="J31" s="2" t="str">
        <f t="shared" ref="J31:J32" si="5">CONCATENATE("EXECUTE [dbo].[PG_CI_DETALLE_PORTATIL] 0,0, ",B31,", ",C31,",'",D31,"','",E31,"','",F31,"',",G31,",'",H31,"',",I31,"; ")</f>
        <v xml:space="preserve">EXECUTE [dbo].[PG_CI_DETALLE_PORTATIL] 0,0, 20, 29,'N/D','NISSAN','2010',0,'0136B07390508612',0; </v>
      </c>
      <c r="M31" s="8">
        <v>3</v>
      </c>
    </row>
    <row r="32" spans="2:13" x14ac:dyDescent="0.45">
      <c r="B32" s="3">
        <v>21</v>
      </c>
      <c r="C32">
        <v>30</v>
      </c>
      <c r="D32" t="s">
        <v>122</v>
      </c>
      <c r="E32" s="12" t="s">
        <v>161</v>
      </c>
      <c r="F32" s="12" t="s">
        <v>162</v>
      </c>
      <c r="G32" s="12" t="s">
        <v>168</v>
      </c>
      <c r="H32" s="1" t="s">
        <v>197</v>
      </c>
      <c r="I32" s="13" t="s">
        <v>140</v>
      </c>
      <c r="J32" s="2" t="str">
        <f t="shared" si="5"/>
        <v xml:space="preserve">EXECUTE [dbo].[PG_CI_DETALLE_PORTATIL] 0,0, 21, 30,'N/D','NISSAN','2010',22098,'013AB067801076420',0; </v>
      </c>
      <c r="M32" s="8">
        <v>3</v>
      </c>
    </row>
    <row r="33" spans="2:13" hidden="1" x14ac:dyDescent="0.45">
      <c r="B33" s="3">
        <v>4</v>
      </c>
      <c r="C33">
        <v>31</v>
      </c>
      <c r="D33" t="s">
        <v>122</v>
      </c>
      <c r="E33" s="12" t="s">
        <v>122</v>
      </c>
      <c r="F33" s="12" t="s">
        <v>122</v>
      </c>
      <c r="G33" s="12" t="s">
        <v>140</v>
      </c>
      <c r="H33" s="1" t="s">
        <v>122</v>
      </c>
      <c r="I33" s="13" t="s">
        <v>140</v>
      </c>
      <c r="J33" s="2" t="e">
        <f>CONCATENATE("EXECUTE [dbo].[PG_CI_DETALLE_AUTOTANQUE] 0,0, ",B33,", ",C33,", ",#REF!,",",#REF!,",'",D33,"','",E33,"','",F33,"',",G33,",'",H33,"',",I33,",'",#REF!,"','",#REF!,"','",#REF!,"'; ")</f>
        <v>#REF!</v>
      </c>
      <c r="M33" s="8">
        <v>1</v>
      </c>
    </row>
    <row r="34" spans="2:13" x14ac:dyDescent="0.45">
      <c r="B34" s="3">
        <v>22</v>
      </c>
      <c r="C34">
        <v>32</v>
      </c>
      <c r="D34" t="s">
        <v>122</v>
      </c>
      <c r="E34" s="12" t="s">
        <v>122</v>
      </c>
      <c r="F34" s="12" t="s">
        <v>122</v>
      </c>
      <c r="G34" s="12" t="s">
        <v>140</v>
      </c>
      <c r="H34" s="1" t="s">
        <v>122</v>
      </c>
      <c r="I34" s="13" t="s">
        <v>140</v>
      </c>
      <c r="J34" s="2" t="str">
        <f>CONCATENATE("EXECUTE [dbo].[PG_CI_DETALLE_PORTATIL] 0,0, ",B34,", ",C34,",'",D34,"','",E34,"','",F34,"',",G34,",'",H34,"',",I34,"; ")</f>
        <v xml:space="preserve">EXECUTE [dbo].[PG_CI_DETALLE_PORTATIL] 0,0, 22, 32,'N/D','N/D','N/D',0,'N/D',0; </v>
      </c>
      <c r="M34" s="8">
        <v>3</v>
      </c>
    </row>
    <row r="35" spans="2:13" hidden="1" x14ac:dyDescent="0.45">
      <c r="B35" s="3">
        <v>33</v>
      </c>
      <c r="C35">
        <v>33</v>
      </c>
      <c r="D35" t="s">
        <v>133</v>
      </c>
      <c r="E35" s="12" t="s">
        <v>122</v>
      </c>
      <c r="F35" s="12" t="s">
        <v>122</v>
      </c>
      <c r="G35" s="12" t="s">
        <v>140</v>
      </c>
      <c r="H35" s="1" t="s">
        <v>122</v>
      </c>
      <c r="I35" s="13" t="s">
        <v>140</v>
      </c>
      <c r="J35" s="2" t="e">
        <f>CONCATENATE("EXECUTE [dbo].[PG_CI_DETALLE_PUNTO_VENTA] 0,0, ",B35,", ",C35,", ",#REF!,",",#REF!,",'",D35,"','",E35,"','",F35,"',",G35,",'",H35,"',",I35,",'",#REF!,"','",#REF!,"','",#REF!,"'; ")</f>
        <v>#REF!</v>
      </c>
      <c r="M35" s="8">
        <v>2</v>
      </c>
    </row>
    <row r="36" spans="2:13" x14ac:dyDescent="0.45">
      <c r="B36" s="3">
        <v>23</v>
      </c>
      <c r="C36">
        <v>34</v>
      </c>
      <c r="D36" t="s">
        <v>122</v>
      </c>
      <c r="E36" s="12" t="s">
        <v>122</v>
      </c>
      <c r="F36" s="12" t="s">
        <v>122</v>
      </c>
      <c r="G36" s="12" t="s">
        <v>140</v>
      </c>
      <c r="H36" s="1" t="s">
        <v>122</v>
      </c>
      <c r="I36" s="13" t="s">
        <v>140</v>
      </c>
      <c r="J36" s="2" t="str">
        <f t="shared" ref="J36:J39" si="6">CONCATENATE("EXECUTE [dbo].[PG_CI_DETALLE_PORTATIL] 0,0, ",B36,", ",C36,",'",D36,"','",E36,"','",F36,"',",G36,",'",H36,"',",I36,"; ")</f>
        <v xml:space="preserve">EXECUTE [dbo].[PG_CI_DETALLE_PORTATIL] 0,0, 23, 34,'N/D','N/D','N/D',0,'N/D',0; </v>
      </c>
      <c r="M36" s="8">
        <v>3</v>
      </c>
    </row>
    <row r="37" spans="2:13" x14ac:dyDescent="0.45">
      <c r="B37" s="3">
        <v>24</v>
      </c>
      <c r="C37">
        <v>35</v>
      </c>
      <c r="D37" t="s">
        <v>122</v>
      </c>
      <c r="E37" s="12" t="s">
        <v>161</v>
      </c>
      <c r="F37" s="12" t="s">
        <v>166</v>
      </c>
      <c r="G37" s="12" t="s">
        <v>169</v>
      </c>
      <c r="H37" s="1" t="s">
        <v>198</v>
      </c>
      <c r="I37" s="13" t="s">
        <v>140</v>
      </c>
      <c r="J37" s="2" t="str">
        <f t="shared" si="6"/>
        <v xml:space="preserve">EXECUTE [dbo].[PG_CI_DETALLE_PORTATIL] 0,0, 24, 35,'N/D','NISSAN','2007',1.3,'3N6DD14547K040525',0; </v>
      </c>
      <c r="M37" s="8">
        <v>3</v>
      </c>
    </row>
    <row r="38" spans="2:13" x14ac:dyDescent="0.45">
      <c r="B38" s="3">
        <v>25</v>
      </c>
      <c r="C38">
        <v>36</v>
      </c>
      <c r="D38" t="s">
        <v>122</v>
      </c>
      <c r="E38" s="12" t="s">
        <v>122</v>
      </c>
      <c r="F38" s="12" t="s">
        <v>122</v>
      </c>
      <c r="G38" s="12" t="s">
        <v>140</v>
      </c>
      <c r="H38" s="1" t="s">
        <v>122</v>
      </c>
      <c r="I38" s="13" t="s">
        <v>140</v>
      </c>
      <c r="J38" s="2" t="str">
        <f t="shared" si="6"/>
        <v xml:space="preserve">EXECUTE [dbo].[PG_CI_DETALLE_PORTATIL] 0,0, 25, 36,'N/D','N/D','N/D',0,'N/D',0; </v>
      </c>
      <c r="M38" s="8">
        <v>3</v>
      </c>
    </row>
    <row r="39" spans="2:13" x14ac:dyDescent="0.45">
      <c r="B39" s="3">
        <v>26</v>
      </c>
      <c r="C39">
        <v>37</v>
      </c>
      <c r="D39" t="s">
        <v>122</v>
      </c>
      <c r="E39" s="12" t="s">
        <v>161</v>
      </c>
      <c r="F39" s="12" t="s">
        <v>166</v>
      </c>
      <c r="G39" s="12" t="s">
        <v>170</v>
      </c>
      <c r="H39" s="1" t="s">
        <v>199</v>
      </c>
      <c r="I39" s="13" t="s">
        <v>140</v>
      </c>
      <c r="J39" s="2" t="str">
        <f t="shared" si="6"/>
        <v xml:space="preserve">EXECUTE [dbo].[PG_CI_DETALLE_PORTATIL] 0,0, 26, 37,'N/D','NISSAN','2007',228.6,'3N6DD14568K002327',0; </v>
      </c>
      <c r="M39" s="8">
        <v>3</v>
      </c>
    </row>
    <row r="40" spans="2:13" hidden="1" x14ac:dyDescent="0.45">
      <c r="B40" s="3">
        <v>38</v>
      </c>
      <c r="C40">
        <v>38</v>
      </c>
      <c r="D40" t="s">
        <v>122</v>
      </c>
      <c r="E40" s="12" t="s">
        <v>122</v>
      </c>
      <c r="F40" s="12" t="s">
        <v>122</v>
      </c>
      <c r="G40" s="12" t="s">
        <v>140</v>
      </c>
      <c r="H40" s="1" t="s">
        <v>122</v>
      </c>
      <c r="I40" s="13" t="s">
        <v>140</v>
      </c>
      <c r="J40" s="2" t="e">
        <f>CONCATENATE("EXECUTE [dbo].[PG_CI_DETALLE_PUNTO_VENTA] 0,0, ",B40,", ",C40,", ",#REF!,",",#REF!,",'",D40,"','",E40,"','",F40,"',",G40,",'",H40,"',",I40,",'",#REF!,"','",#REF!,"','",#REF!,"'; ")</f>
        <v>#REF!</v>
      </c>
      <c r="M40" s="8">
        <v>2</v>
      </c>
    </row>
    <row r="41" spans="2:13" x14ac:dyDescent="0.45">
      <c r="B41" s="3">
        <v>27</v>
      </c>
      <c r="C41">
        <v>39</v>
      </c>
      <c r="D41" t="s">
        <v>122</v>
      </c>
      <c r="E41" s="12" t="s">
        <v>122</v>
      </c>
      <c r="F41" s="12" t="s">
        <v>122</v>
      </c>
      <c r="G41" s="12" t="s">
        <v>140</v>
      </c>
      <c r="H41" s="1" t="s">
        <v>122</v>
      </c>
      <c r="I41" s="13" t="s">
        <v>140</v>
      </c>
      <c r="J41" s="2" t="str">
        <f t="shared" ref="J41:J42" si="7">CONCATENATE("EXECUTE [dbo].[PG_CI_DETALLE_PORTATIL] 0,0, ",B41,", ",C41,",'",D41,"','",E41,"','",F41,"',",G41,",'",H41,"',",I41,"; ")</f>
        <v xml:space="preserve">EXECUTE [dbo].[PG_CI_DETALLE_PORTATIL] 0,0, 27, 39,'N/D','N/D','N/D',0,'N/D',0; </v>
      </c>
      <c r="M41" s="8">
        <v>3</v>
      </c>
    </row>
    <row r="42" spans="2:13" x14ac:dyDescent="0.45">
      <c r="B42" s="3">
        <v>28</v>
      </c>
      <c r="C42">
        <v>40</v>
      </c>
      <c r="D42" t="s">
        <v>133</v>
      </c>
      <c r="E42" s="12" t="s">
        <v>122</v>
      </c>
      <c r="F42" s="12" t="s">
        <v>122</v>
      </c>
      <c r="G42" s="12" t="s">
        <v>140</v>
      </c>
      <c r="H42" s="1" t="s">
        <v>122</v>
      </c>
      <c r="I42" s="13" t="s">
        <v>140</v>
      </c>
      <c r="J42" s="2" t="str">
        <f t="shared" si="7"/>
        <v xml:space="preserve">EXECUTE [dbo].[PG_CI_DETALLE_PORTATIL] 0,0, 28, 40,'DV10353','N/D','N/D',0,'N/D',0; </v>
      </c>
      <c r="M42" s="8">
        <v>3</v>
      </c>
    </row>
    <row r="43" spans="2:13" hidden="1" x14ac:dyDescent="0.45">
      <c r="B43" s="3">
        <v>5</v>
      </c>
      <c r="C43">
        <v>41</v>
      </c>
      <c r="D43" t="s">
        <v>122</v>
      </c>
      <c r="E43" s="12" t="s">
        <v>161</v>
      </c>
      <c r="F43" s="12" t="s">
        <v>162</v>
      </c>
      <c r="G43" s="12" t="s">
        <v>171</v>
      </c>
      <c r="H43" s="1" t="s">
        <v>200</v>
      </c>
      <c r="I43" s="13" t="s">
        <v>140</v>
      </c>
      <c r="J43" s="2" t="e">
        <f>CONCATENATE("EXECUTE [dbo].[PG_CI_DETALLE_AUTOTANQUE] 0,0, ",B43,", ",C43,", ",#REF!,",",#REF!,",'",D43,"','",E43,"','",F43,"',",G43,",'",H43,"',",I43,",'",#REF!,"','",#REF!,"','",#REF!,"'; ")</f>
        <v>#REF!</v>
      </c>
      <c r="M43" s="8">
        <v>1</v>
      </c>
    </row>
    <row r="44" spans="2:13" x14ac:dyDescent="0.45">
      <c r="B44" s="3">
        <v>29</v>
      </c>
      <c r="C44">
        <v>42</v>
      </c>
      <c r="D44" t="s">
        <v>134</v>
      </c>
      <c r="E44" s="12" t="s">
        <v>122</v>
      </c>
      <c r="F44" s="12" t="s">
        <v>122</v>
      </c>
      <c r="G44" s="12" t="s">
        <v>140</v>
      </c>
      <c r="H44" s="1" t="s">
        <v>122</v>
      </c>
      <c r="I44" s="13" t="s">
        <v>140</v>
      </c>
      <c r="J44" s="2" t="str">
        <f>CONCATENATE("EXECUTE [dbo].[PG_CI_DETALLE_PORTATIL] 0,0, ",B44,", ",C44,",'",D44,"','",E44,"','",F44,"',",G44,",'",H44,"',",I44,"; ")</f>
        <v xml:space="preserve">EXECUTE [dbo].[PG_CI_DETALLE_PORTATIL] 0,0, 29, 42,'DV10359','N/D','N/D',0,'N/D',0; </v>
      </c>
      <c r="M44" s="8">
        <v>3</v>
      </c>
    </row>
    <row r="45" spans="2:13" hidden="1" x14ac:dyDescent="0.45">
      <c r="B45" s="3">
        <v>43</v>
      </c>
      <c r="C45">
        <v>43</v>
      </c>
      <c r="D45" t="s">
        <v>122</v>
      </c>
      <c r="E45" s="12" t="s">
        <v>122</v>
      </c>
      <c r="F45" s="12" t="s">
        <v>122</v>
      </c>
      <c r="G45" s="12" t="s">
        <v>140</v>
      </c>
      <c r="H45" s="1" t="s">
        <v>122</v>
      </c>
      <c r="I45" s="13" t="s">
        <v>140</v>
      </c>
      <c r="J45" s="2" t="e">
        <f>CONCATENATE("EXECUTE [dbo].[PG_CI_DETALLE_PUNTO_VENTA] 0,0, ",B45,", ",C45,", ",#REF!,",",#REF!,",'",D45,"','",E45,"','",F45,"',",G45,",'",H45,"',",I45,",'",#REF!,"','",#REF!,"','",#REF!,"'; ")</f>
        <v>#REF!</v>
      </c>
      <c r="M45" s="8">
        <v>2</v>
      </c>
    </row>
    <row r="46" spans="2:13" x14ac:dyDescent="0.45">
      <c r="B46" s="3">
        <v>30</v>
      </c>
      <c r="C46">
        <v>44</v>
      </c>
      <c r="D46" t="s">
        <v>122</v>
      </c>
      <c r="E46" s="12" t="s">
        <v>165</v>
      </c>
      <c r="F46" s="12" t="s">
        <v>122</v>
      </c>
      <c r="G46" s="12" t="s">
        <v>172</v>
      </c>
      <c r="H46" s="1" t="s">
        <v>122</v>
      </c>
      <c r="I46" s="13" t="s">
        <v>140</v>
      </c>
      <c r="J46" s="2" t="str">
        <f t="shared" ref="J46:J49" si="8">CONCATENATE("EXECUTE [dbo].[PG_CI_DETALLE_PORTATIL] 0,0, ",B46,", ",C46,",'",D46,"','",E46,"','",F46,"',",G46,",'",H46,"',",I46,"; ")</f>
        <v xml:space="preserve">EXECUTE [dbo].[PG_CI_DETALLE_PORTATIL] 0,0, 30, 44,'N/D','CHEVROLET HEAVY DUTY','N/D',8911979,'N/D',0; </v>
      </c>
      <c r="M46" s="8">
        <v>3</v>
      </c>
    </row>
    <row r="47" spans="2:13" x14ac:dyDescent="0.45">
      <c r="B47" s="3">
        <v>31</v>
      </c>
      <c r="C47">
        <v>45</v>
      </c>
      <c r="D47" t="s">
        <v>122</v>
      </c>
      <c r="E47" s="12" t="s">
        <v>122</v>
      </c>
      <c r="F47" s="12" t="s">
        <v>122</v>
      </c>
      <c r="G47" s="12">
        <v>0</v>
      </c>
      <c r="H47" s="1" t="s">
        <v>122</v>
      </c>
      <c r="I47" s="13" t="s">
        <v>210</v>
      </c>
      <c r="J47" s="2" t="str">
        <f t="shared" si="8"/>
        <v xml:space="preserve">EXECUTE [dbo].[PG_CI_DETALLE_PORTATIL] 0,0, 31, 45,'N/D','N/D','N/D',0,'N/D',4750; </v>
      </c>
      <c r="M47" s="8">
        <v>3</v>
      </c>
    </row>
    <row r="48" spans="2:13" x14ac:dyDescent="0.45">
      <c r="B48" s="3">
        <v>32</v>
      </c>
      <c r="C48">
        <v>46</v>
      </c>
      <c r="D48" t="s">
        <v>122</v>
      </c>
      <c r="E48" s="12" t="s">
        <v>122</v>
      </c>
      <c r="F48" s="12" t="s">
        <v>122</v>
      </c>
      <c r="G48" s="12">
        <v>0</v>
      </c>
      <c r="H48" s="1" t="s">
        <v>122</v>
      </c>
      <c r="I48" s="13" t="s">
        <v>211</v>
      </c>
      <c r="J48" s="2" t="str">
        <f t="shared" si="8"/>
        <v xml:space="preserve">EXECUTE [dbo].[PG_CI_DETALLE_PORTATIL] 0,0, 32, 46,'N/D','N/D','N/D',0,'N/D',3500; </v>
      </c>
      <c r="M48" s="8">
        <v>3</v>
      </c>
    </row>
    <row r="49" spans="2:13" x14ac:dyDescent="0.45">
      <c r="B49" s="3">
        <v>33</v>
      </c>
      <c r="C49">
        <v>47</v>
      </c>
      <c r="D49" t="s">
        <v>122</v>
      </c>
      <c r="E49" s="12" t="s">
        <v>173</v>
      </c>
      <c r="F49" s="12" t="s">
        <v>174</v>
      </c>
      <c r="G49" s="12" t="s">
        <v>175</v>
      </c>
      <c r="H49" s="1" t="s">
        <v>201</v>
      </c>
      <c r="I49" s="13" t="s">
        <v>212</v>
      </c>
      <c r="J49" s="2" t="str">
        <f t="shared" si="8"/>
        <v xml:space="preserve">EXECUTE [dbo].[PG_CI_DETALLE_PORTATIL] 0,0, 33, 47,'N/D','NISSAN VPM','2008',56309,'3NGDD14528K021599',1866; </v>
      </c>
      <c r="M49" s="8">
        <v>3</v>
      </c>
    </row>
    <row r="50" spans="2:13" hidden="1" x14ac:dyDescent="0.45">
      <c r="B50" s="3">
        <v>48</v>
      </c>
      <c r="C50">
        <v>48</v>
      </c>
      <c r="D50" t="s">
        <v>122</v>
      </c>
      <c r="E50" s="12" t="s">
        <v>122</v>
      </c>
      <c r="F50" s="12" t="s">
        <v>122</v>
      </c>
      <c r="G50" s="12" t="s">
        <v>140</v>
      </c>
      <c r="H50" s="1" t="s">
        <v>122</v>
      </c>
      <c r="I50" s="13" t="s">
        <v>202</v>
      </c>
      <c r="J50" s="2" t="e">
        <f>CONCATENATE("EXECUTE [dbo].[PG_CI_DETALLE_PUNTO_VENTA] 0,0, ",B50,", ",C50,", ",#REF!,",",#REF!,",'",D50,"','",E50,"','",F50,"',",G50,",'",H50,"',",I50,",'",#REF!,"','",#REF!,"','",#REF!,"'; ")</f>
        <v>#REF!</v>
      </c>
      <c r="M50" s="8">
        <v>2</v>
      </c>
    </row>
    <row r="51" spans="2:13" hidden="1" x14ac:dyDescent="0.45">
      <c r="B51" s="3">
        <v>49</v>
      </c>
      <c r="C51">
        <v>49</v>
      </c>
      <c r="D51" t="s">
        <v>122</v>
      </c>
      <c r="E51" s="12" t="s">
        <v>122</v>
      </c>
      <c r="F51" s="12" t="s">
        <v>122</v>
      </c>
      <c r="G51" s="12" t="s">
        <v>140</v>
      </c>
      <c r="H51" s="1" t="s">
        <v>122</v>
      </c>
      <c r="I51" s="13" t="s">
        <v>211</v>
      </c>
      <c r="J51" s="2" t="e">
        <f>CONCATENATE("EXECUTE [dbo].[PG_CI_DETALLE_PUNTO_VENTA] 0,0, ",B51,", ",C51,", ",#REF!,",",#REF!,",'",D51,"','",E51,"','",F51,"',",G51,",'",H51,"',",I51,",'",#REF!,"','",#REF!,"','",#REF!,"'; ")</f>
        <v>#REF!</v>
      </c>
    </row>
    <row r="52" spans="2:13" hidden="1" x14ac:dyDescent="0.45">
      <c r="B52" s="3">
        <v>50</v>
      </c>
      <c r="C52">
        <v>50</v>
      </c>
      <c r="D52" t="s">
        <v>122</v>
      </c>
      <c r="E52" s="12" t="s">
        <v>122</v>
      </c>
      <c r="F52" s="12" t="s">
        <v>122</v>
      </c>
      <c r="G52" s="12" t="s">
        <v>140</v>
      </c>
      <c r="H52" s="1" t="s">
        <v>122</v>
      </c>
      <c r="I52" s="13" t="s">
        <v>202</v>
      </c>
      <c r="J52" s="2" t="e">
        <f>CONCATENATE("EXECUTE [dbo].[PG_CI_DETALLE_PUNTO_VENTA] 0,0, ",B52,", ",C52,", ",#REF!,",",#REF!,",'",D52,"','",E52,"','",F52,"',",G52,",'",H52,"',",I52,",'",#REF!,"','",#REF!,"','",#REF!,"'; ")</f>
        <v>#REF!</v>
      </c>
    </row>
    <row r="53" spans="2:13" hidden="1" x14ac:dyDescent="0.45">
      <c r="I53" s="13" t="s">
        <v>202</v>
      </c>
      <c r="J53" s="2" t="e">
        <f>CONCATENATE("EXECUTE [dbo].[PG_CI_DETALLE_PUNTO_VENTA] 0,0, ",B53,", ",C53,", ",#REF!,",",#REF!,",'",D53,"','",E53,"','",F53,"',",G53,",'",H53,"',",I53,",'",#REF!,"','",#REF!,"','",#REF!,"'; ")</f>
        <v>#REF!</v>
      </c>
    </row>
  </sheetData>
  <autoFilter ref="M2:M53">
    <filterColumn colId="0">
      <filters>
        <filter val="3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4.25" x14ac:dyDescent="0.45"/>
  <sheetData>
    <row r="1" spans="1:16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>
        <v>0</v>
      </c>
      <c r="K1">
        <v>0</v>
      </c>
      <c r="L1">
        <v>0</v>
      </c>
      <c r="M1">
        <v>60</v>
      </c>
      <c r="N1">
        <v>1</v>
      </c>
      <c r="O1" s="9">
        <v>41207.688564814816</v>
      </c>
      <c r="P1" t="s">
        <v>10</v>
      </c>
    </row>
    <row r="2" spans="1:16" x14ac:dyDescent="0.45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12</v>
      </c>
      <c r="G2" t="s">
        <v>13</v>
      </c>
      <c r="H2" t="s">
        <v>8</v>
      </c>
      <c r="I2" t="s">
        <v>9</v>
      </c>
      <c r="J2">
        <v>0</v>
      </c>
      <c r="K2">
        <v>0</v>
      </c>
      <c r="L2">
        <v>0</v>
      </c>
      <c r="M2">
        <v>60</v>
      </c>
      <c r="N2">
        <v>1</v>
      </c>
      <c r="O2" s="9">
        <v>41207.688564814816</v>
      </c>
      <c r="P2" t="s">
        <v>10</v>
      </c>
    </row>
    <row r="3" spans="1:16" x14ac:dyDescent="0.45">
      <c r="A3" t="s">
        <v>1</v>
      </c>
      <c r="B3" t="s">
        <v>2</v>
      </c>
      <c r="C3" t="s">
        <v>3</v>
      </c>
      <c r="D3" t="s">
        <v>4</v>
      </c>
      <c r="E3" t="s">
        <v>14</v>
      </c>
      <c r="F3">
        <v>0</v>
      </c>
      <c r="G3" t="s">
        <v>7</v>
      </c>
      <c r="H3" t="s">
        <v>8</v>
      </c>
      <c r="I3" t="s">
        <v>15</v>
      </c>
      <c r="J3">
        <v>0</v>
      </c>
      <c r="K3">
        <v>0</v>
      </c>
      <c r="L3">
        <v>0</v>
      </c>
      <c r="M3">
        <v>60</v>
      </c>
      <c r="N3">
        <v>1</v>
      </c>
      <c r="O3" s="9">
        <v>41207.688564814816</v>
      </c>
      <c r="P3" t="s">
        <v>10</v>
      </c>
    </row>
    <row r="4" spans="1:16" x14ac:dyDescent="0.45">
      <c r="A4" t="s">
        <v>1</v>
      </c>
      <c r="B4" t="s">
        <v>2</v>
      </c>
      <c r="C4" t="s">
        <v>3</v>
      </c>
      <c r="D4" t="s">
        <v>4</v>
      </c>
      <c r="E4" t="s">
        <v>16</v>
      </c>
      <c r="F4" t="s">
        <v>17</v>
      </c>
      <c r="G4" t="s">
        <v>7</v>
      </c>
      <c r="H4" t="s">
        <v>8</v>
      </c>
      <c r="I4" t="s">
        <v>9</v>
      </c>
      <c r="J4">
        <v>0</v>
      </c>
      <c r="K4">
        <v>0</v>
      </c>
      <c r="L4">
        <v>0</v>
      </c>
      <c r="M4">
        <v>60</v>
      </c>
      <c r="N4">
        <v>1</v>
      </c>
      <c r="O4" s="9">
        <v>41207.688564814816</v>
      </c>
      <c r="P4" t="s">
        <v>10</v>
      </c>
    </row>
    <row r="5" spans="1:16" x14ac:dyDescent="0.45">
      <c r="A5" t="s">
        <v>1</v>
      </c>
      <c r="B5" t="s">
        <v>2</v>
      </c>
      <c r="C5" t="s">
        <v>3</v>
      </c>
      <c r="D5" t="s">
        <v>4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>
        <v>0</v>
      </c>
      <c r="K5">
        <v>0</v>
      </c>
      <c r="L5">
        <v>0</v>
      </c>
      <c r="M5">
        <v>60</v>
      </c>
      <c r="N5">
        <v>1</v>
      </c>
      <c r="O5" s="9">
        <v>41207.688564814816</v>
      </c>
      <c r="P5" t="s">
        <v>10</v>
      </c>
    </row>
    <row r="6" spans="1:16" x14ac:dyDescent="0.45">
      <c r="A6" t="s">
        <v>1</v>
      </c>
      <c r="B6" t="s">
        <v>2</v>
      </c>
      <c r="C6" t="s">
        <v>3</v>
      </c>
      <c r="D6" t="s">
        <v>4</v>
      </c>
      <c r="E6" t="s">
        <v>20</v>
      </c>
      <c r="F6" t="s">
        <v>21</v>
      </c>
      <c r="G6" t="s">
        <v>7</v>
      </c>
      <c r="H6" t="s">
        <v>8</v>
      </c>
      <c r="I6" t="s">
        <v>9</v>
      </c>
      <c r="J6">
        <v>0</v>
      </c>
      <c r="K6">
        <v>0</v>
      </c>
      <c r="L6">
        <v>0</v>
      </c>
      <c r="M6">
        <v>60</v>
      </c>
      <c r="N6">
        <v>1</v>
      </c>
      <c r="O6" s="9">
        <v>41207.688564814816</v>
      </c>
      <c r="P6" t="s">
        <v>10</v>
      </c>
    </row>
    <row r="7" spans="1:16" x14ac:dyDescent="0.45">
      <c r="A7" t="s">
        <v>1</v>
      </c>
      <c r="B7" t="s">
        <v>2</v>
      </c>
      <c r="C7" t="s">
        <v>3</v>
      </c>
      <c r="D7" t="s">
        <v>4</v>
      </c>
      <c r="E7" t="s">
        <v>22</v>
      </c>
      <c r="F7" t="s">
        <v>23</v>
      </c>
      <c r="G7" t="s">
        <v>7</v>
      </c>
      <c r="H7" t="s">
        <v>8</v>
      </c>
      <c r="I7" t="s">
        <v>9</v>
      </c>
      <c r="J7">
        <v>0</v>
      </c>
      <c r="K7">
        <v>0</v>
      </c>
      <c r="L7">
        <v>0</v>
      </c>
      <c r="M7">
        <v>60</v>
      </c>
      <c r="N7">
        <v>1</v>
      </c>
      <c r="O7" s="9">
        <v>41207.688564814816</v>
      </c>
      <c r="P7" t="s">
        <v>10</v>
      </c>
    </row>
    <row r="8" spans="1:16" x14ac:dyDescent="0.45">
      <c r="A8" t="s">
        <v>1</v>
      </c>
      <c r="B8" t="s">
        <v>2</v>
      </c>
      <c r="C8" t="s">
        <v>3</v>
      </c>
      <c r="D8" t="s">
        <v>4</v>
      </c>
      <c r="E8" t="s">
        <v>24</v>
      </c>
      <c r="F8" t="s">
        <v>25</v>
      </c>
      <c r="G8" t="s">
        <v>7</v>
      </c>
      <c r="H8" t="s">
        <v>8</v>
      </c>
      <c r="I8" t="s">
        <v>9</v>
      </c>
      <c r="J8">
        <v>0</v>
      </c>
      <c r="K8">
        <v>0</v>
      </c>
      <c r="L8">
        <v>0</v>
      </c>
      <c r="M8">
        <v>60</v>
      </c>
      <c r="N8">
        <v>1</v>
      </c>
      <c r="O8" s="9">
        <v>41207.688564814816</v>
      </c>
      <c r="P8" t="s">
        <v>10</v>
      </c>
    </row>
    <row r="9" spans="1:16" x14ac:dyDescent="0.45">
      <c r="A9" t="s">
        <v>1</v>
      </c>
      <c r="B9" t="s">
        <v>2</v>
      </c>
      <c r="C9" t="s">
        <v>3</v>
      </c>
      <c r="D9" t="s">
        <v>4</v>
      </c>
      <c r="E9" t="s">
        <v>26</v>
      </c>
      <c r="F9" t="s">
        <v>27</v>
      </c>
      <c r="G9" t="s">
        <v>7</v>
      </c>
      <c r="H9" t="s">
        <v>8</v>
      </c>
      <c r="I9" t="s">
        <v>9</v>
      </c>
      <c r="J9">
        <v>0</v>
      </c>
      <c r="K9">
        <v>0</v>
      </c>
      <c r="L9">
        <v>0</v>
      </c>
      <c r="M9">
        <v>60</v>
      </c>
      <c r="N9">
        <v>1</v>
      </c>
      <c r="O9" s="9">
        <v>41207.688564814816</v>
      </c>
      <c r="P9" t="s">
        <v>10</v>
      </c>
    </row>
    <row r="10" spans="1:16" x14ac:dyDescent="0.45">
      <c r="A10" t="s">
        <v>1</v>
      </c>
      <c r="B10" t="s">
        <v>2</v>
      </c>
      <c r="C10" t="s">
        <v>3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t="s">
        <v>9</v>
      </c>
      <c r="J10">
        <v>0</v>
      </c>
      <c r="K10">
        <v>0</v>
      </c>
      <c r="L10">
        <v>0</v>
      </c>
      <c r="M10">
        <v>60</v>
      </c>
      <c r="N10">
        <v>1</v>
      </c>
      <c r="O10" s="9">
        <v>41207.688564814816</v>
      </c>
      <c r="P10" t="s">
        <v>10</v>
      </c>
    </row>
    <row r="11" spans="1:16" x14ac:dyDescent="0.45">
      <c r="A11" t="s">
        <v>1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7</v>
      </c>
      <c r="H11" t="s">
        <v>8</v>
      </c>
      <c r="I11" t="s">
        <v>9</v>
      </c>
      <c r="J11">
        <v>0</v>
      </c>
      <c r="K11">
        <v>0</v>
      </c>
      <c r="L11">
        <v>0</v>
      </c>
      <c r="M11">
        <v>60</v>
      </c>
      <c r="N11">
        <v>1</v>
      </c>
      <c r="O11" s="9">
        <v>41207.688564814816</v>
      </c>
      <c r="P11" t="s">
        <v>10</v>
      </c>
    </row>
    <row r="12" spans="1:16" x14ac:dyDescent="0.45">
      <c r="A12" t="s">
        <v>1</v>
      </c>
      <c r="B12" t="s">
        <v>2</v>
      </c>
      <c r="C12" t="s">
        <v>3</v>
      </c>
      <c r="D12" t="s">
        <v>4</v>
      </c>
      <c r="E12" t="s">
        <v>32</v>
      </c>
      <c r="F12" t="s">
        <v>33</v>
      </c>
      <c r="G12" t="s">
        <v>7</v>
      </c>
      <c r="H12" t="s">
        <v>8</v>
      </c>
      <c r="I12" t="s">
        <v>9</v>
      </c>
      <c r="J12">
        <v>0</v>
      </c>
      <c r="K12">
        <v>0</v>
      </c>
      <c r="L12">
        <v>0</v>
      </c>
      <c r="M12">
        <v>60</v>
      </c>
      <c r="N12">
        <v>1</v>
      </c>
      <c r="O12" s="9">
        <v>41207.688564814816</v>
      </c>
      <c r="P12" t="s">
        <v>10</v>
      </c>
    </row>
    <row r="13" spans="1:16" x14ac:dyDescent="0.45">
      <c r="A13" t="s">
        <v>1</v>
      </c>
      <c r="B13" t="s">
        <v>2</v>
      </c>
      <c r="C13" t="s">
        <v>3</v>
      </c>
      <c r="D13" t="s">
        <v>4</v>
      </c>
      <c r="E13" t="s">
        <v>34</v>
      </c>
      <c r="F13" t="s">
        <v>35</v>
      </c>
      <c r="G13" t="s">
        <v>7</v>
      </c>
      <c r="H13" t="s">
        <v>8</v>
      </c>
      <c r="I13" t="s">
        <v>9</v>
      </c>
      <c r="J13">
        <v>0</v>
      </c>
      <c r="K13">
        <v>0</v>
      </c>
      <c r="L13">
        <v>0</v>
      </c>
      <c r="M13">
        <v>60</v>
      </c>
      <c r="N13">
        <v>1</v>
      </c>
      <c r="O13" s="9">
        <v>41207.688564814816</v>
      </c>
      <c r="P13" t="s">
        <v>10</v>
      </c>
    </row>
    <row r="14" spans="1:16" x14ac:dyDescent="0.45">
      <c r="A14" t="s">
        <v>1</v>
      </c>
      <c r="B14" t="s">
        <v>2</v>
      </c>
      <c r="C14" t="s">
        <v>3</v>
      </c>
      <c r="D14" t="s">
        <v>4</v>
      </c>
      <c r="E14" t="s">
        <v>36</v>
      </c>
      <c r="F14" t="s">
        <v>37</v>
      </c>
      <c r="G14" t="s">
        <v>7</v>
      </c>
      <c r="H14" t="s">
        <v>8</v>
      </c>
      <c r="I14" t="s">
        <v>9</v>
      </c>
      <c r="J14">
        <v>0</v>
      </c>
      <c r="K14">
        <v>0</v>
      </c>
      <c r="L14">
        <v>0</v>
      </c>
      <c r="M14">
        <v>60</v>
      </c>
      <c r="N14">
        <v>1</v>
      </c>
      <c r="O14" s="9">
        <v>41207.688564814816</v>
      </c>
      <c r="P14" t="s">
        <v>10</v>
      </c>
    </row>
    <row r="15" spans="1:16" x14ac:dyDescent="0.45">
      <c r="A15" t="s">
        <v>1</v>
      </c>
      <c r="B15" t="s">
        <v>2</v>
      </c>
      <c r="C15" t="s">
        <v>3</v>
      </c>
      <c r="D15" t="s">
        <v>4</v>
      </c>
      <c r="E15" t="s">
        <v>38</v>
      </c>
      <c r="F15" t="s">
        <v>39</v>
      </c>
      <c r="G15" t="s">
        <v>7</v>
      </c>
      <c r="H15" t="s">
        <v>8</v>
      </c>
      <c r="I15" t="s">
        <v>9</v>
      </c>
      <c r="J15">
        <v>0</v>
      </c>
      <c r="K15">
        <v>0</v>
      </c>
      <c r="L15">
        <v>0</v>
      </c>
      <c r="M15">
        <v>60</v>
      </c>
      <c r="N15">
        <v>1</v>
      </c>
      <c r="O15" s="9">
        <v>41207.688564814816</v>
      </c>
      <c r="P15" t="s">
        <v>10</v>
      </c>
    </row>
    <row r="16" spans="1:16" x14ac:dyDescent="0.45">
      <c r="A16" t="s">
        <v>1</v>
      </c>
      <c r="B16" t="s">
        <v>2</v>
      </c>
      <c r="C16" t="s">
        <v>3</v>
      </c>
      <c r="D16" t="s">
        <v>4</v>
      </c>
      <c r="E16" t="s">
        <v>40</v>
      </c>
      <c r="F16" t="s">
        <v>41</v>
      </c>
      <c r="G16" t="s">
        <v>7</v>
      </c>
      <c r="H16" t="s">
        <v>8</v>
      </c>
      <c r="I16" t="s">
        <v>9</v>
      </c>
      <c r="J16">
        <v>0</v>
      </c>
      <c r="K16">
        <v>0</v>
      </c>
      <c r="L16">
        <v>0</v>
      </c>
      <c r="M16">
        <v>60</v>
      </c>
      <c r="N16">
        <v>1</v>
      </c>
      <c r="O16" s="9">
        <v>41207.688564814816</v>
      </c>
      <c r="P16" t="s">
        <v>10</v>
      </c>
    </row>
    <row r="17" spans="1:16" x14ac:dyDescent="0.45">
      <c r="A17" t="s">
        <v>1</v>
      </c>
      <c r="B17" t="s">
        <v>2</v>
      </c>
      <c r="C17" t="s">
        <v>3</v>
      </c>
      <c r="D17" t="s">
        <v>4</v>
      </c>
      <c r="E17" t="s">
        <v>42</v>
      </c>
      <c r="F17" t="s">
        <v>43</v>
      </c>
      <c r="G17" t="s">
        <v>7</v>
      </c>
      <c r="H17" t="s">
        <v>8</v>
      </c>
      <c r="I17" t="s">
        <v>9</v>
      </c>
      <c r="J17">
        <v>0</v>
      </c>
      <c r="K17">
        <v>0</v>
      </c>
      <c r="L17">
        <v>0</v>
      </c>
      <c r="M17">
        <v>60</v>
      </c>
      <c r="N17">
        <v>1</v>
      </c>
      <c r="O17" s="9">
        <v>41207.688564814816</v>
      </c>
      <c r="P17" t="s">
        <v>10</v>
      </c>
    </row>
    <row r="18" spans="1:16" x14ac:dyDescent="0.45">
      <c r="A18" t="s">
        <v>1</v>
      </c>
      <c r="B18" t="s">
        <v>2</v>
      </c>
      <c r="C18" t="s">
        <v>3</v>
      </c>
      <c r="D18" t="s">
        <v>4</v>
      </c>
      <c r="E18" t="s">
        <v>44</v>
      </c>
      <c r="F18" t="s">
        <v>45</v>
      </c>
      <c r="G18" t="s">
        <v>7</v>
      </c>
      <c r="H18" t="s">
        <v>8</v>
      </c>
      <c r="I18" t="s">
        <v>9</v>
      </c>
      <c r="J18">
        <v>0</v>
      </c>
      <c r="K18">
        <v>0</v>
      </c>
      <c r="L18">
        <v>0</v>
      </c>
      <c r="M18">
        <v>60</v>
      </c>
      <c r="N18">
        <v>1</v>
      </c>
      <c r="O18" s="9">
        <v>41207.688564814816</v>
      </c>
      <c r="P18" t="s">
        <v>10</v>
      </c>
    </row>
    <row r="19" spans="1:16" x14ac:dyDescent="0.45">
      <c r="A19" t="s">
        <v>1</v>
      </c>
      <c r="B19" t="s">
        <v>2</v>
      </c>
      <c r="C19" t="s">
        <v>3</v>
      </c>
      <c r="D19" t="s">
        <v>4</v>
      </c>
      <c r="E19" t="s">
        <v>46</v>
      </c>
      <c r="F19" t="s">
        <v>47</v>
      </c>
      <c r="G19" t="s">
        <v>7</v>
      </c>
      <c r="H19" t="s">
        <v>8</v>
      </c>
      <c r="I19" t="s">
        <v>9</v>
      </c>
      <c r="J19">
        <v>0</v>
      </c>
      <c r="K19">
        <v>0</v>
      </c>
      <c r="L19">
        <v>0</v>
      </c>
      <c r="M19">
        <v>60</v>
      </c>
      <c r="N19">
        <v>1</v>
      </c>
      <c r="O19" s="9">
        <v>41207.688564814816</v>
      </c>
      <c r="P19" t="s">
        <v>10</v>
      </c>
    </row>
    <row r="20" spans="1:16" x14ac:dyDescent="0.45">
      <c r="A20" t="s">
        <v>1</v>
      </c>
      <c r="B20" t="s">
        <v>2</v>
      </c>
      <c r="C20" t="s">
        <v>3</v>
      </c>
      <c r="D20" t="s">
        <v>4</v>
      </c>
      <c r="E20" t="s">
        <v>48</v>
      </c>
      <c r="F20" t="s">
        <v>49</v>
      </c>
      <c r="G20" t="s">
        <v>7</v>
      </c>
      <c r="H20" t="s">
        <v>8</v>
      </c>
      <c r="I20" t="s">
        <v>9</v>
      </c>
      <c r="J20">
        <v>0</v>
      </c>
      <c r="K20">
        <v>0</v>
      </c>
      <c r="L20">
        <v>0</v>
      </c>
      <c r="M20">
        <v>60</v>
      </c>
      <c r="N20">
        <v>1</v>
      </c>
      <c r="O20" s="9">
        <v>41207.688564814816</v>
      </c>
      <c r="P20" t="s">
        <v>10</v>
      </c>
    </row>
    <row r="21" spans="1:16" x14ac:dyDescent="0.45">
      <c r="A21" t="s">
        <v>1</v>
      </c>
      <c r="B21" t="s">
        <v>2</v>
      </c>
      <c r="C21" t="s">
        <v>3</v>
      </c>
      <c r="D21" t="s">
        <v>4</v>
      </c>
      <c r="E21" t="s">
        <v>50</v>
      </c>
      <c r="F21" t="s">
        <v>51</v>
      </c>
      <c r="G21" t="s">
        <v>7</v>
      </c>
      <c r="H21" t="s">
        <v>8</v>
      </c>
      <c r="I21" t="s">
        <v>9</v>
      </c>
      <c r="J21">
        <v>0</v>
      </c>
      <c r="K21">
        <v>0</v>
      </c>
      <c r="L21">
        <v>0</v>
      </c>
      <c r="M21">
        <v>60</v>
      </c>
      <c r="N21">
        <v>1</v>
      </c>
      <c r="O21" s="9">
        <v>41207.688564814816</v>
      </c>
      <c r="P21" t="s">
        <v>10</v>
      </c>
    </row>
    <row r="22" spans="1:16" x14ac:dyDescent="0.45">
      <c r="A22" t="s">
        <v>1</v>
      </c>
      <c r="B22" t="s">
        <v>2</v>
      </c>
      <c r="C22" t="s">
        <v>3</v>
      </c>
      <c r="D22" t="s">
        <v>4</v>
      </c>
      <c r="E22" t="s">
        <v>52</v>
      </c>
      <c r="F22" t="s">
        <v>53</v>
      </c>
      <c r="G22" t="s">
        <v>7</v>
      </c>
      <c r="H22" t="s">
        <v>8</v>
      </c>
      <c r="I22" t="s">
        <v>9</v>
      </c>
      <c r="J22">
        <v>0</v>
      </c>
      <c r="K22">
        <v>0</v>
      </c>
      <c r="L22">
        <v>0</v>
      </c>
      <c r="M22">
        <v>60</v>
      </c>
      <c r="N22">
        <v>1</v>
      </c>
      <c r="O22" s="9">
        <v>41207.688564814816</v>
      </c>
      <c r="P22" t="s">
        <v>10</v>
      </c>
    </row>
    <row r="23" spans="1:16" x14ac:dyDescent="0.45">
      <c r="A23" t="s">
        <v>1</v>
      </c>
      <c r="B23" t="s">
        <v>2</v>
      </c>
      <c r="C23" t="s">
        <v>3</v>
      </c>
      <c r="D23" t="s">
        <v>4</v>
      </c>
      <c r="E23" t="s">
        <v>54</v>
      </c>
      <c r="F23" t="s">
        <v>55</v>
      </c>
      <c r="G23" t="s">
        <v>7</v>
      </c>
      <c r="H23" t="s">
        <v>8</v>
      </c>
      <c r="I23" t="s">
        <v>9</v>
      </c>
      <c r="J23">
        <v>0</v>
      </c>
      <c r="K23">
        <v>0</v>
      </c>
      <c r="L23">
        <v>0</v>
      </c>
      <c r="M23">
        <v>60</v>
      </c>
      <c r="N23">
        <v>1</v>
      </c>
      <c r="O23" s="9">
        <v>41207.688564814816</v>
      </c>
      <c r="P23" t="s">
        <v>10</v>
      </c>
    </row>
    <row r="24" spans="1:16" x14ac:dyDescent="0.45">
      <c r="A24" t="s">
        <v>1</v>
      </c>
      <c r="B24" t="s">
        <v>2</v>
      </c>
      <c r="C24" t="s">
        <v>3</v>
      </c>
      <c r="D24" t="s">
        <v>4</v>
      </c>
      <c r="E24" t="s">
        <v>56</v>
      </c>
      <c r="F24" t="s">
        <v>57</v>
      </c>
      <c r="G24" t="s">
        <v>7</v>
      </c>
      <c r="H24" t="s">
        <v>8</v>
      </c>
      <c r="I24" t="s">
        <v>9</v>
      </c>
      <c r="J24">
        <v>0</v>
      </c>
      <c r="K24">
        <v>0</v>
      </c>
      <c r="L24">
        <v>0</v>
      </c>
      <c r="M24">
        <v>60</v>
      </c>
      <c r="N24">
        <v>1</v>
      </c>
      <c r="O24" s="9">
        <v>41207.688564814816</v>
      </c>
      <c r="P24" t="s">
        <v>10</v>
      </c>
    </row>
    <row r="25" spans="1:16" x14ac:dyDescent="0.45">
      <c r="A25" t="s">
        <v>1</v>
      </c>
      <c r="B25" t="s">
        <v>2</v>
      </c>
      <c r="C25" t="s">
        <v>3</v>
      </c>
      <c r="D25" t="s">
        <v>4</v>
      </c>
      <c r="E25" t="s">
        <v>58</v>
      </c>
      <c r="F25" t="s">
        <v>59</v>
      </c>
      <c r="G25" t="s">
        <v>7</v>
      </c>
      <c r="H25" t="s">
        <v>8</v>
      </c>
      <c r="I25" t="s">
        <v>9</v>
      </c>
      <c r="J25">
        <v>0</v>
      </c>
      <c r="K25">
        <v>0</v>
      </c>
      <c r="L25">
        <v>0</v>
      </c>
      <c r="M25">
        <v>60</v>
      </c>
      <c r="N25">
        <v>1</v>
      </c>
      <c r="O25" s="9">
        <v>41207.688564814816</v>
      </c>
      <c r="P25" t="s">
        <v>10</v>
      </c>
    </row>
    <row r="26" spans="1:16" x14ac:dyDescent="0.45">
      <c r="A26" t="s">
        <v>1</v>
      </c>
      <c r="B26" t="s">
        <v>2</v>
      </c>
      <c r="C26" t="s">
        <v>3</v>
      </c>
      <c r="D26" t="s">
        <v>4</v>
      </c>
      <c r="E26" t="s">
        <v>60</v>
      </c>
      <c r="F26" t="s">
        <v>61</v>
      </c>
      <c r="G26" t="s">
        <v>7</v>
      </c>
      <c r="H26" t="s">
        <v>8</v>
      </c>
      <c r="I26" t="s">
        <v>9</v>
      </c>
      <c r="J26">
        <v>0</v>
      </c>
      <c r="K26">
        <v>0</v>
      </c>
      <c r="L26">
        <v>0</v>
      </c>
      <c r="M26">
        <v>60</v>
      </c>
      <c r="N26">
        <v>1</v>
      </c>
      <c r="O26" s="9">
        <v>41207.688564814816</v>
      </c>
      <c r="P26" t="s">
        <v>10</v>
      </c>
    </row>
    <row r="27" spans="1:16" x14ac:dyDescent="0.45">
      <c r="A27" t="s">
        <v>1</v>
      </c>
      <c r="B27" t="s">
        <v>2</v>
      </c>
      <c r="C27" t="s">
        <v>3</v>
      </c>
      <c r="D27" t="s">
        <v>4</v>
      </c>
      <c r="E27" t="s">
        <v>62</v>
      </c>
      <c r="F27" t="s">
        <v>63</v>
      </c>
      <c r="G27" t="s">
        <v>13</v>
      </c>
      <c r="H27" t="s">
        <v>8</v>
      </c>
      <c r="I27" t="s">
        <v>9</v>
      </c>
      <c r="J27">
        <v>0</v>
      </c>
      <c r="K27">
        <v>0</v>
      </c>
      <c r="L27">
        <v>0</v>
      </c>
      <c r="M27">
        <v>60</v>
      </c>
      <c r="N27">
        <v>1</v>
      </c>
      <c r="O27" s="9">
        <v>41207.688564814816</v>
      </c>
      <c r="P27" t="s">
        <v>10</v>
      </c>
    </row>
    <row r="28" spans="1:16" x14ac:dyDescent="0.45">
      <c r="A28" t="s">
        <v>1</v>
      </c>
      <c r="B28" t="s">
        <v>2</v>
      </c>
      <c r="C28" t="s">
        <v>3</v>
      </c>
      <c r="D28" t="s">
        <v>4</v>
      </c>
      <c r="E28" t="s">
        <v>64</v>
      </c>
      <c r="F28" t="s">
        <v>65</v>
      </c>
      <c r="G28" t="s">
        <v>13</v>
      </c>
      <c r="H28" t="s">
        <v>8</v>
      </c>
      <c r="I28" t="s">
        <v>9</v>
      </c>
      <c r="J28">
        <v>0</v>
      </c>
      <c r="K28">
        <v>0</v>
      </c>
      <c r="L28">
        <v>0</v>
      </c>
      <c r="M28">
        <v>60</v>
      </c>
      <c r="N28">
        <v>1</v>
      </c>
      <c r="O28" s="9">
        <v>41207.688564814816</v>
      </c>
      <c r="P28" t="s">
        <v>10</v>
      </c>
    </row>
    <row r="29" spans="1:16" x14ac:dyDescent="0.45">
      <c r="A29" t="s">
        <v>1</v>
      </c>
      <c r="B29" t="s">
        <v>2</v>
      </c>
      <c r="C29" t="s">
        <v>3</v>
      </c>
      <c r="D29" t="s">
        <v>4</v>
      </c>
      <c r="E29" t="s">
        <v>66</v>
      </c>
      <c r="F29" t="s">
        <v>67</v>
      </c>
      <c r="G29" t="s">
        <v>13</v>
      </c>
      <c r="H29" t="s">
        <v>8</v>
      </c>
      <c r="I29" t="s">
        <v>9</v>
      </c>
      <c r="J29">
        <v>0</v>
      </c>
      <c r="K29">
        <v>0</v>
      </c>
      <c r="L29">
        <v>0</v>
      </c>
      <c r="M29">
        <v>60</v>
      </c>
      <c r="N29">
        <v>0</v>
      </c>
      <c r="O29" s="9">
        <v>41207.688564814816</v>
      </c>
      <c r="P29" t="s">
        <v>10</v>
      </c>
    </row>
    <row r="30" spans="1:16" x14ac:dyDescent="0.45">
      <c r="A30" t="s">
        <v>1</v>
      </c>
      <c r="B30" t="s">
        <v>2</v>
      </c>
      <c r="C30" t="s">
        <v>3</v>
      </c>
      <c r="D30" t="s">
        <v>4</v>
      </c>
      <c r="E30" t="s">
        <v>68</v>
      </c>
      <c r="F30" t="s">
        <v>69</v>
      </c>
      <c r="G30" t="s">
        <v>13</v>
      </c>
      <c r="H30" t="s">
        <v>8</v>
      </c>
      <c r="I30" t="s">
        <v>9</v>
      </c>
      <c r="J30">
        <v>0</v>
      </c>
      <c r="K30">
        <v>0</v>
      </c>
      <c r="L30">
        <v>0</v>
      </c>
      <c r="M30">
        <v>60</v>
      </c>
      <c r="N30">
        <v>0</v>
      </c>
      <c r="O30" s="9">
        <v>41207.688564814816</v>
      </c>
      <c r="P30" t="s">
        <v>10</v>
      </c>
    </row>
    <row r="31" spans="1:16" x14ac:dyDescent="0.45">
      <c r="A31" t="s">
        <v>1</v>
      </c>
      <c r="B31" t="s">
        <v>2</v>
      </c>
      <c r="C31" t="s">
        <v>3</v>
      </c>
      <c r="D31" t="s">
        <v>4</v>
      </c>
      <c r="E31" t="s">
        <v>70</v>
      </c>
      <c r="F31" t="s">
        <v>71</v>
      </c>
      <c r="G31" t="s">
        <v>13</v>
      </c>
      <c r="H31" t="s">
        <v>8</v>
      </c>
      <c r="I31" t="s">
        <v>9</v>
      </c>
      <c r="J31">
        <v>0</v>
      </c>
      <c r="K31">
        <v>0</v>
      </c>
      <c r="L31">
        <v>0</v>
      </c>
      <c r="M31">
        <v>60</v>
      </c>
      <c r="N31">
        <v>0</v>
      </c>
      <c r="O31" s="9">
        <v>41207.688564814816</v>
      </c>
      <c r="P31" t="s">
        <v>10</v>
      </c>
    </row>
    <row r="32" spans="1:16" x14ac:dyDescent="0.45">
      <c r="A32" t="s">
        <v>1</v>
      </c>
      <c r="B32" t="s">
        <v>2</v>
      </c>
      <c r="C32" t="s">
        <v>3</v>
      </c>
      <c r="D32" t="s">
        <v>4</v>
      </c>
      <c r="E32" t="s">
        <v>72</v>
      </c>
      <c r="F32" t="s">
        <v>73</v>
      </c>
      <c r="G32" t="s">
        <v>13</v>
      </c>
      <c r="H32" t="s">
        <v>8</v>
      </c>
      <c r="I32" t="s">
        <v>9</v>
      </c>
      <c r="J32">
        <v>0</v>
      </c>
      <c r="K32">
        <v>0</v>
      </c>
      <c r="L32">
        <v>0</v>
      </c>
      <c r="M32">
        <v>60</v>
      </c>
      <c r="N32">
        <v>0</v>
      </c>
      <c r="O32" s="9">
        <v>41207.688564814816</v>
      </c>
      <c r="P32" t="s">
        <v>10</v>
      </c>
    </row>
    <row r="33" spans="1:16" x14ac:dyDescent="0.45">
      <c r="A33" t="s">
        <v>1</v>
      </c>
      <c r="B33" t="s">
        <v>2</v>
      </c>
      <c r="C33" t="s">
        <v>3</v>
      </c>
      <c r="D33" t="s">
        <v>4</v>
      </c>
      <c r="E33" t="s">
        <v>74</v>
      </c>
      <c r="F33" t="s">
        <v>75</v>
      </c>
      <c r="G33" t="s">
        <v>13</v>
      </c>
      <c r="H33" t="s">
        <v>8</v>
      </c>
      <c r="I33" t="s">
        <v>9</v>
      </c>
      <c r="J33">
        <v>0</v>
      </c>
      <c r="K33">
        <v>0</v>
      </c>
      <c r="L33">
        <v>0</v>
      </c>
      <c r="M33">
        <v>60</v>
      </c>
      <c r="N33">
        <v>0</v>
      </c>
      <c r="O33" s="9">
        <v>41207.688564814816</v>
      </c>
      <c r="P33" t="s">
        <v>10</v>
      </c>
    </row>
    <row r="34" spans="1:16" x14ac:dyDescent="0.45">
      <c r="A34" t="s">
        <v>1</v>
      </c>
      <c r="B34" t="s">
        <v>2</v>
      </c>
      <c r="C34" t="s">
        <v>3</v>
      </c>
      <c r="D34" t="s">
        <v>4</v>
      </c>
      <c r="E34" t="s">
        <v>76</v>
      </c>
      <c r="F34" t="s">
        <v>77</v>
      </c>
      <c r="G34" t="s">
        <v>13</v>
      </c>
      <c r="H34" t="s">
        <v>8</v>
      </c>
      <c r="I34" t="s">
        <v>9</v>
      </c>
      <c r="J34">
        <v>0</v>
      </c>
      <c r="K34">
        <v>0</v>
      </c>
      <c r="L34">
        <v>0</v>
      </c>
      <c r="M34">
        <v>60</v>
      </c>
      <c r="N34">
        <v>0</v>
      </c>
      <c r="O34" s="9">
        <v>41207.688564814816</v>
      </c>
      <c r="P34" t="s">
        <v>10</v>
      </c>
    </row>
    <row r="35" spans="1:16" x14ac:dyDescent="0.45">
      <c r="A35" t="s">
        <v>1</v>
      </c>
      <c r="B35" t="s">
        <v>2</v>
      </c>
      <c r="C35" t="s">
        <v>3</v>
      </c>
      <c r="D35" t="s">
        <v>4</v>
      </c>
      <c r="E35" t="s">
        <v>78</v>
      </c>
      <c r="F35" t="s">
        <v>79</v>
      </c>
      <c r="G35" t="s">
        <v>13</v>
      </c>
      <c r="H35" t="s">
        <v>8</v>
      </c>
      <c r="I35" t="s">
        <v>9</v>
      </c>
      <c r="J35">
        <v>0</v>
      </c>
      <c r="K35">
        <v>0</v>
      </c>
      <c r="L35">
        <v>0</v>
      </c>
      <c r="M35">
        <v>60</v>
      </c>
      <c r="N35">
        <v>0</v>
      </c>
      <c r="O35" s="9">
        <v>41207.688564814816</v>
      </c>
      <c r="P35" t="s">
        <v>10</v>
      </c>
    </row>
    <row r="36" spans="1:16" x14ac:dyDescent="0.45">
      <c r="A36" t="s">
        <v>1</v>
      </c>
      <c r="B36" t="s">
        <v>2</v>
      </c>
      <c r="C36" t="s">
        <v>3</v>
      </c>
      <c r="D36" t="s">
        <v>4</v>
      </c>
      <c r="E36" t="s">
        <v>80</v>
      </c>
      <c r="F36" t="s">
        <v>81</v>
      </c>
      <c r="G36" t="s">
        <v>13</v>
      </c>
      <c r="H36" t="s">
        <v>8</v>
      </c>
      <c r="I36" t="s">
        <v>9</v>
      </c>
      <c r="J36">
        <v>0</v>
      </c>
      <c r="K36">
        <v>0</v>
      </c>
      <c r="L36">
        <v>0</v>
      </c>
      <c r="M36">
        <v>60</v>
      </c>
      <c r="N36">
        <v>0</v>
      </c>
      <c r="O36" s="9">
        <v>41207.688564814816</v>
      </c>
      <c r="P36" t="s">
        <v>10</v>
      </c>
    </row>
    <row r="37" spans="1:16" x14ac:dyDescent="0.45">
      <c r="A37" t="s">
        <v>1</v>
      </c>
      <c r="B37" t="s">
        <v>2</v>
      </c>
      <c r="C37" t="s">
        <v>3</v>
      </c>
      <c r="D37" t="s">
        <v>4</v>
      </c>
      <c r="E37" t="s">
        <v>82</v>
      </c>
      <c r="F37" t="s">
        <v>83</v>
      </c>
      <c r="G37" t="s">
        <v>13</v>
      </c>
      <c r="H37" t="s">
        <v>8</v>
      </c>
      <c r="I37" t="s">
        <v>9</v>
      </c>
      <c r="J37">
        <v>0</v>
      </c>
      <c r="K37">
        <v>0</v>
      </c>
      <c r="L37">
        <v>0</v>
      </c>
      <c r="M37">
        <v>60</v>
      </c>
      <c r="N37">
        <v>0</v>
      </c>
      <c r="O37" s="9">
        <v>41207.688564814816</v>
      </c>
      <c r="P37" t="s">
        <v>10</v>
      </c>
    </row>
    <row r="38" spans="1:16" x14ac:dyDescent="0.45">
      <c r="A38" t="s">
        <v>1</v>
      </c>
      <c r="B38" t="s">
        <v>2</v>
      </c>
      <c r="C38" t="s">
        <v>3</v>
      </c>
      <c r="D38" t="s">
        <v>4</v>
      </c>
      <c r="E38" t="s">
        <v>84</v>
      </c>
      <c r="F38" t="s">
        <v>85</v>
      </c>
      <c r="G38" t="s">
        <v>13</v>
      </c>
      <c r="H38" t="s">
        <v>8</v>
      </c>
      <c r="I38" t="s">
        <v>9</v>
      </c>
      <c r="J38">
        <v>0</v>
      </c>
      <c r="K38">
        <v>0</v>
      </c>
      <c r="L38">
        <v>0</v>
      </c>
      <c r="M38">
        <v>60</v>
      </c>
      <c r="N38">
        <v>1</v>
      </c>
      <c r="O38" s="9">
        <v>41207.688564814816</v>
      </c>
      <c r="P38" t="s">
        <v>10</v>
      </c>
    </row>
    <row r="39" spans="1:16" x14ac:dyDescent="0.45">
      <c r="A39" t="s">
        <v>1</v>
      </c>
      <c r="B39" t="s">
        <v>2</v>
      </c>
      <c r="C39" t="s">
        <v>3</v>
      </c>
      <c r="D39" t="s">
        <v>4</v>
      </c>
      <c r="E39" t="s">
        <v>86</v>
      </c>
      <c r="F39" t="s">
        <v>87</v>
      </c>
      <c r="G39" t="s">
        <v>13</v>
      </c>
      <c r="H39" t="s">
        <v>8</v>
      </c>
      <c r="I39" t="s">
        <v>9</v>
      </c>
      <c r="J39">
        <v>0</v>
      </c>
      <c r="K39">
        <v>0</v>
      </c>
      <c r="L39">
        <v>0</v>
      </c>
      <c r="M39">
        <v>60</v>
      </c>
      <c r="N39">
        <v>0</v>
      </c>
      <c r="O39" s="9">
        <v>41207.688564814816</v>
      </c>
      <c r="P39" t="s">
        <v>10</v>
      </c>
    </row>
    <row r="40" spans="1:16" x14ac:dyDescent="0.45">
      <c r="A40" t="s">
        <v>1</v>
      </c>
      <c r="B40" t="s">
        <v>2</v>
      </c>
      <c r="C40" t="s">
        <v>3</v>
      </c>
      <c r="D40" t="s">
        <v>4</v>
      </c>
      <c r="E40" t="s">
        <v>88</v>
      </c>
      <c r="F40" t="s">
        <v>89</v>
      </c>
      <c r="G40" t="s">
        <v>13</v>
      </c>
      <c r="H40" t="s">
        <v>8</v>
      </c>
      <c r="I40" t="s">
        <v>9</v>
      </c>
      <c r="J40">
        <v>0</v>
      </c>
      <c r="K40">
        <v>0</v>
      </c>
      <c r="L40">
        <v>0</v>
      </c>
      <c r="M40">
        <v>60</v>
      </c>
      <c r="N40">
        <v>0</v>
      </c>
      <c r="O40" s="9">
        <v>41207.688564814816</v>
      </c>
      <c r="P40" t="s">
        <v>10</v>
      </c>
    </row>
    <row r="41" spans="1:16" x14ac:dyDescent="0.45">
      <c r="A41" t="s">
        <v>1</v>
      </c>
      <c r="B41" t="s">
        <v>2</v>
      </c>
      <c r="C41" t="s">
        <v>3</v>
      </c>
      <c r="D41" t="s">
        <v>4</v>
      </c>
      <c r="E41" t="s">
        <v>90</v>
      </c>
      <c r="F41" t="s">
        <v>91</v>
      </c>
      <c r="G41" t="s">
        <v>13</v>
      </c>
      <c r="H41" t="s">
        <v>8</v>
      </c>
      <c r="I41" t="s">
        <v>9</v>
      </c>
      <c r="J41">
        <v>0</v>
      </c>
      <c r="K41">
        <v>0</v>
      </c>
      <c r="L41">
        <v>0</v>
      </c>
      <c r="M41">
        <v>60</v>
      </c>
      <c r="N41">
        <v>0</v>
      </c>
      <c r="O41" s="9">
        <v>41207.688564814816</v>
      </c>
      <c r="P41" t="s">
        <v>10</v>
      </c>
    </row>
    <row r="42" spans="1:16" x14ac:dyDescent="0.45">
      <c r="A42" t="s">
        <v>1</v>
      </c>
      <c r="B42" t="s">
        <v>2</v>
      </c>
      <c r="C42" t="s">
        <v>3</v>
      </c>
      <c r="D42" t="s">
        <v>4</v>
      </c>
      <c r="E42" t="s">
        <v>92</v>
      </c>
      <c r="F42" t="s">
        <v>93</v>
      </c>
      <c r="G42" t="s">
        <v>13</v>
      </c>
      <c r="H42" t="s">
        <v>8</v>
      </c>
      <c r="I42" t="s">
        <v>9</v>
      </c>
      <c r="J42">
        <v>0</v>
      </c>
      <c r="K42">
        <v>0</v>
      </c>
      <c r="L42">
        <v>0</v>
      </c>
      <c r="M42">
        <v>60</v>
      </c>
      <c r="N42">
        <v>0</v>
      </c>
      <c r="O42" s="9">
        <v>41207.688564814816</v>
      </c>
      <c r="P42" t="s">
        <v>10</v>
      </c>
    </row>
    <row r="43" spans="1:16" x14ac:dyDescent="0.45">
      <c r="A43" t="s">
        <v>1</v>
      </c>
      <c r="B43" t="s">
        <v>2</v>
      </c>
      <c r="C43" t="s">
        <v>3</v>
      </c>
      <c r="D43" t="s">
        <v>4</v>
      </c>
      <c r="E43" t="s">
        <v>94</v>
      </c>
      <c r="F43" t="s">
        <v>95</v>
      </c>
      <c r="G43" t="s">
        <v>13</v>
      </c>
      <c r="H43" t="s">
        <v>8</v>
      </c>
      <c r="I43" t="s">
        <v>9</v>
      </c>
      <c r="J43">
        <v>0</v>
      </c>
      <c r="K43">
        <v>0</v>
      </c>
      <c r="L43">
        <v>0</v>
      </c>
      <c r="M43">
        <v>60</v>
      </c>
      <c r="N43">
        <v>0</v>
      </c>
      <c r="O43" s="9">
        <v>41207.688564814816</v>
      </c>
      <c r="P43" t="s">
        <v>10</v>
      </c>
    </row>
    <row r="44" spans="1:16" x14ac:dyDescent="0.45">
      <c r="A44" t="s">
        <v>1</v>
      </c>
      <c r="B44" t="s">
        <v>2</v>
      </c>
      <c r="C44" t="s">
        <v>3</v>
      </c>
      <c r="D44" t="s">
        <v>4</v>
      </c>
      <c r="E44" t="s">
        <v>96</v>
      </c>
      <c r="F44" t="s">
        <v>97</v>
      </c>
      <c r="G44" t="s">
        <v>13</v>
      </c>
      <c r="H44" t="s">
        <v>8</v>
      </c>
      <c r="I44" t="s">
        <v>9</v>
      </c>
      <c r="J44">
        <v>0</v>
      </c>
      <c r="K44">
        <v>0</v>
      </c>
      <c r="L44">
        <v>0</v>
      </c>
      <c r="M44">
        <v>60</v>
      </c>
      <c r="N44">
        <v>0</v>
      </c>
      <c r="O44" s="9">
        <v>41207.688564814816</v>
      </c>
      <c r="P44" t="s">
        <v>10</v>
      </c>
    </row>
    <row r="45" spans="1:16" x14ac:dyDescent="0.45">
      <c r="A45" t="s">
        <v>1</v>
      </c>
      <c r="B45" t="s">
        <v>2</v>
      </c>
      <c r="C45" t="s">
        <v>3</v>
      </c>
      <c r="D45" t="s">
        <v>4</v>
      </c>
      <c r="E45" t="s">
        <v>98</v>
      </c>
      <c r="F45" t="s">
        <v>99</v>
      </c>
      <c r="G45" t="s">
        <v>13</v>
      </c>
      <c r="H45" t="s">
        <v>8</v>
      </c>
      <c r="I45" t="s">
        <v>9</v>
      </c>
      <c r="J45">
        <v>0</v>
      </c>
      <c r="K45">
        <v>0</v>
      </c>
      <c r="L45">
        <v>0</v>
      </c>
      <c r="M45">
        <v>60</v>
      </c>
      <c r="N45">
        <v>0</v>
      </c>
      <c r="O45" s="9">
        <v>41207.688564814816</v>
      </c>
      <c r="P45" t="s">
        <v>10</v>
      </c>
    </row>
    <row r="46" spans="1:16" x14ac:dyDescent="0.45">
      <c r="A46" t="s">
        <v>1</v>
      </c>
      <c r="B46" t="s">
        <v>2</v>
      </c>
      <c r="C46" t="s">
        <v>3</v>
      </c>
      <c r="D46" t="s">
        <v>4</v>
      </c>
      <c r="E46" t="s">
        <v>100</v>
      </c>
      <c r="F46" t="s">
        <v>101</v>
      </c>
      <c r="G46" t="s">
        <v>13</v>
      </c>
      <c r="H46" t="s">
        <v>8</v>
      </c>
      <c r="I46" t="s">
        <v>9</v>
      </c>
      <c r="J46">
        <v>0</v>
      </c>
      <c r="K46">
        <v>0</v>
      </c>
      <c r="L46">
        <v>0</v>
      </c>
      <c r="M46">
        <v>60</v>
      </c>
      <c r="N46">
        <v>0</v>
      </c>
      <c r="O46" s="9">
        <v>41207.688564814816</v>
      </c>
      <c r="P46" t="s">
        <v>10</v>
      </c>
    </row>
    <row r="47" spans="1:16" x14ac:dyDescent="0.45">
      <c r="A47" t="s">
        <v>1</v>
      </c>
      <c r="B47" t="s">
        <v>2</v>
      </c>
      <c r="C47" t="s">
        <v>3</v>
      </c>
      <c r="D47" t="s">
        <v>4</v>
      </c>
      <c r="E47" t="s">
        <v>102</v>
      </c>
      <c r="F47" t="s">
        <v>103</v>
      </c>
      <c r="G47" t="s">
        <v>13</v>
      </c>
      <c r="H47" t="s">
        <v>8</v>
      </c>
      <c r="I47" t="s">
        <v>9</v>
      </c>
      <c r="J47">
        <v>0</v>
      </c>
      <c r="K47">
        <v>0</v>
      </c>
      <c r="L47">
        <v>0</v>
      </c>
      <c r="M47">
        <v>60</v>
      </c>
      <c r="N47">
        <v>1</v>
      </c>
      <c r="O47" s="9">
        <v>41207.688564814816</v>
      </c>
      <c r="P47" t="s">
        <v>10</v>
      </c>
    </row>
    <row r="48" spans="1:16" x14ac:dyDescent="0.45">
      <c r="A48" t="s">
        <v>1</v>
      </c>
      <c r="B48" t="s">
        <v>2</v>
      </c>
      <c r="C48" t="s">
        <v>3</v>
      </c>
      <c r="D48" t="s">
        <v>4</v>
      </c>
      <c r="E48" t="s">
        <v>104</v>
      </c>
      <c r="F48" t="s">
        <v>105</v>
      </c>
      <c r="G48" t="s">
        <v>13</v>
      </c>
      <c r="H48" t="s">
        <v>8</v>
      </c>
      <c r="I48" t="s">
        <v>9</v>
      </c>
      <c r="J48">
        <v>0</v>
      </c>
      <c r="K48">
        <v>0</v>
      </c>
      <c r="L48">
        <v>0</v>
      </c>
      <c r="M48">
        <v>60</v>
      </c>
      <c r="N48">
        <v>0</v>
      </c>
      <c r="O48" s="9">
        <v>41207.688564814816</v>
      </c>
      <c r="P48" t="s">
        <v>10</v>
      </c>
    </row>
    <row r="49" spans="1:16" x14ac:dyDescent="0.45">
      <c r="A49" t="s">
        <v>1</v>
      </c>
      <c r="B49" t="s">
        <v>2</v>
      </c>
      <c r="C49" t="s">
        <v>3</v>
      </c>
      <c r="D49" t="s">
        <v>4</v>
      </c>
      <c r="E49" t="s">
        <v>106</v>
      </c>
      <c r="F49" t="s">
        <v>107</v>
      </c>
      <c r="G49" t="s">
        <v>13</v>
      </c>
      <c r="H49" t="s">
        <v>8</v>
      </c>
      <c r="I49" t="s">
        <v>9</v>
      </c>
      <c r="J49">
        <v>0</v>
      </c>
      <c r="K49">
        <v>0</v>
      </c>
      <c r="L49">
        <v>0</v>
      </c>
      <c r="M49">
        <v>60</v>
      </c>
      <c r="N49">
        <v>0</v>
      </c>
      <c r="O49" s="9">
        <v>41207.688564814816</v>
      </c>
      <c r="P49" t="s">
        <v>10</v>
      </c>
    </row>
    <row r="50" spans="1:16" x14ac:dyDescent="0.45">
      <c r="A50" t="s">
        <v>1</v>
      </c>
      <c r="B50" t="s">
        <v>2</v>
      </c>
      <c r="C50" t="s">
        <v>3</v>
      </c>
      <c r="D50" t="s">
        <v>4</v>
      </c>
      <c r="E50" t="s">
        <v>108</v>
      </c>
      <c r="F50" t="s">
        <v>109</v>
      </c>
      <c r="G50" t="s">
        <v>7</v>
      </c>
      <c r="H50" t="s">
        <v>8</v>
      </c>
      <c r="I50" t="s">
        <v>9</v>
      </c>
      <c r="J50">
        <v>0</v>
      </c>
      <c r="K50">
        <v>0</v>
      </c>
      <c r="L50">
        <v>0</v>
      </c>
      <c r="M50">
        <v>60</v>
      </c>
      <c r="N50">
        <v>1</v>
      </c>
      <c r="O50" s="9">
        <v>41207.688564814816</v>
      </c>
      <c r="P5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2019-02-01T23:52:33Z</dcterms:modified>
</cp:coreProperties>
</file>