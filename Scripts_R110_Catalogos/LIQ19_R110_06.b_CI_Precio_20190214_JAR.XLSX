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430" windowHeight="7590"/>
  </bookViews>
  <sheets>
    <sheet name="EMPRESA" sheetId="1" r:id="rId1"/>
    <sheet name="PRECIO" sheetId="2" r:id="rId2"/>
  </sheets>
  <calcPr calcId="145621"/>
</workbook>
</file>

<file path=xl/calcChain.xml><?xml version="1.0" encoding="utf-8"?>
<calcChain xmlns="http://schemas.openxmlformats.org/spreadsheetml/2006/main">
  <c r="M3" i="1" l="1"/>
  <c r="L18" i="1" l="1"/>
  <c r="L17" i="1"/>
  <c r="L16" i="1"/>
  <c r="O19" i="1" l="1"/>
  <c r="M18" i="1" l="1"/>
  <c r="O18" i="1" s="1"/>
  <c r="N19" i="1"/>
  <c r="L19" i="1" s="1"/>
  <c r="B3" i="1"/>
  <c r="M16" i="1" l="1"/>
  <c r="O16" i="1" s="1"/>
  <c r="M19" i="1"/>
  <c r="M17" i="1"/>
  <c r="O17" i="1" s="1"/>
  <c r="D3" i="1" l="1"/>
  <c r="J4" i="1"/>
  <c r="K4" i="1" s="1"/>
  <c r="J5" i="1" s="1"/>
  <c r="A4" i="1"/>
  <c r="A5" i="1" l="1"/>
  <c r="B5" i="1" s="1"/>
  <c r="B4" i="1"/>
  <c r="D4" i="1" s="1"/>
  <c r="K5" i="1"/>
  <c r="J6" i="1" s="1"/>
  <c r="J18" i="1" s="1"/>
  <c r="K18" i="1" s="1"/>
  <c r="J17" i="1"/>
  <c r="K17" i="1" s="1"/>
  <c r="M9" i="2"/>
  <c r="L9" i="2"/>
  <c r="N9" i="2" s="1"/>
  <c r="M8" i="2"/>
  <c r="L8" i="2" s="1"/>
  <c r="N8" i="2" s="1"/>
  <c r="M7" i="2"/>
  <c r="L7" i="2"/>
  <c r="N7" i="2" s="1"/>
  <c r="M6" i="2"/>
  <c r="L6" i="2" s="1"/>
  <c r="N6" i="2" s="1"/>
  <c r="M5" i="2"/>
  <c r="L5" i="2"/>
  <c r="N5" i="2" s="1"/>
  <c r="M4" i="2"/>
  <c r="L4" i="2" s="1"/>
  <c r="N4" i="2" s="1"/>
  <c r="M3" i="2"/>
  <c r="L3" i="2"/>
  <c r="N3" i="2" s="1"/>
  <c r="A6" i="1" l="1"/>
  <c r="B6" i="1" s="1"/>
  <c r="K6" i="1"/>
  <c r="J7" i="1" s="1"/>
  <c r="J19" i="1"/>
  <c r="K19" i="1" s="1"/>
  <c r="D5" i="1"/>
  <c r="A7" i="1"/>
  <c r="D6" i="1" l="1"/>
  <c r="A8" i="1"/>
  <c r="B7" i="1"/>
  <c r="K7" i="1"/>
  <c r="J8" i="1" s="1"/>
  <c r="K8" i="1" s="1"/>
  <c r="J9" i="1" s="1"/>
  <c r="K9" i="1" s="1"/>
  <c r="J10" i="1" s="1"/>
  <c r="K10" i="1" s="1"/>
  <c r="J11" i="1" s="1"/>
  <c r="K11" i="1" s="1"/>
  <c r="J12" i="1" s="1"/>
  <c r="K12" i="1" s="1"/>
  <c r="J13" i="1" s="1"/>
  <c r="K13" i="1" s="1"/>
  <c r="J14" i="1" s="1"/>
  <c r="K14" i="1" s="1"/>
  <c r="J15" i="1" s="1"/>
  <c r="K15" i="1" s="1"/>
  <c r="J16" i="1"/>
  <c r="K16" i="1" s="1"/>
  <c r="D7" i="1" l="1"/>
  <c r="A9" i="1"/>
  <c r="B8" i="1"/>
  <c r="D8" i="1" l="1"/>
  <c r="A10" i="1"/>
  <c r="B9" i="1"/>
  <c r="D9" i="1" l="1"/>
  <c r="A11" i="1"/>
  <c r="B10" i="1"/>
  <c r="D10" i="1" l="1"/>
  <c r="A12" i="1"/>
  <c r="B11" i="1"/>
  <c r="D11" i="1" l="1"/>
  <c r="A13" i="1"/>
  <c r="B12" i="1"/>
  <c r="D12" i="1" l="1"/>
  <c r="A14" i="1"/>
  <c r="B13" i="1"/>
  <c r="D13" i="1" l="1"/>
  <c r="A15" i="1"/>
  <c r="A16" i="1" s="1"/>
  <c r="A17" i="1" s="1"/>
  <c r="A18" i="1" s="1"/>
  <c r="B14" i="1"/>
  <c r="B18" i="1" l="1"/>
  <c r="A19" i="1"/>
  <c r="D14" i="1"/>
  <c r="B15" i="1"/>
  <c r="D18" i="1" l="1"/>
  <c r="D15" i="1"/>
  <c r="B17" i="1" l="1"/>
  <c r="D17" i="1" l="1"/>
  <c r="B16" i="1"/>
  <c r="B19" i="1"/>
  <c r="D16" i="1" l="1"/>
  <c r="D19" i="1"/>
  <c r="L3" i="1" l="1"/>
  <c r="N4" i="1"/>
  <c r="L4" i="1" s="1"/>
  <c r="N5" i="1"/>
  <c r="O4" i="1" l="1"/>
  <c r="O3" i="1"/>
  <c r="M4" i="1"/>
  <c r="N6" i="1"/>
  <c r="L5" i="1"/>
  <c r="O5" i="1" l="1"/>
  <c r="N7" i="1"/>
  <c r="L6" i="1"/>
  <c r="M5" i="1"/>
  <c r="O6" i="1" l="1"/>
  <c r="M6" i="1"/>
  <c r="L7" i="1"/>
  <c r="O7" i="1" s="1"/>
  <c r="M7" i="1"/>
  <c r="N8" i="1"/>
  <c r="M8" i="1" l="1"/>
  <c r="L8" i="1"/>
  <c r="O8" i="1" s="1"/>
  <c r="N9" i="1"/>
  <c r="N10" i="1" l="1"/>
  <c r="L9" i="1"/>
  <c r="L10" i="1" l="1"/>
  <c r="N11" i="1"/>
  <c r="O9" i="1"/>
  <c r="M9" i="1"/>
  <c r="O10" i="1" l="1"/>
  <c r="M10" i="1"/>
  <c r="L11" i="1"/>
  <c r="M11" i="1" s="1"/>
  <c r="N12" i="1"/>
  <c r="O11" i="1" l="1"/>
  <c r="L12" i="1"/>
  <c r="O12" i="1" s="1"/>
  <c r="M12" i="1"/>
  <c r="N13" i="1"/>
  <c r="N14" i="1" l="1"/>
  <c r="L13" i="1"/>
  <c r="M14" i="1" l="1"/>
  <c r="N15" i="1"/>
  <c r="L14" i="1"/>
  <c r="O14" i="1" s="1"/>
  <c r="O13" i="1"/>
  <c r="M13" i="1"/>
  <c r="M15" i="1" l="1"/>
  <c r="L15" i="1"/>
  <c r="O15" i="1" s="1"/>
</calcChain>
</file>

<file path=xl/sharedStrings.xml><?xml version="1.0" encoding="utf-8"?>
<sst xmlns="http://schemas.openxmlformats.org/spreadsheetml/2006/main" count="64" uniqueCount="29">
  <si>
    <t>K_PRODUCTO</t>
  </si>
  <si>
    <t>K_PRECIO</t>
  </si>
  <si>
    <t>D_PRECIO</t>
  </si>
  <si>
    <t>S_PRECIO</t>
  </si>
  <si>
    <t>O_PRECIO</t>
  </si>
  <si>
    <t>K_ESTATUS_PRECIO</t>
  </si>
  <si>
    <t>K_TIPO_PRECIO</t>
  </si>
  <si>
    <t>F_VIGENCIA_INICIO</t>
  </si>
  <si>
    <t>F_VIGENCIA_FIN</t>
  </si>
  <si>
    <t>PRECIO_SIN_IVA</t>
  </si>
  <si>
    <t>PRECIO_IVA</t>
  </si>
  <si>
    <t>PRECIO_CON_IVA</t>
  </si>
  <si>
    <t>PRECIO GENERAL</t>
  </si>
  <si>
    <t>PRECIO LOCAL</t>
  </si>
  <si>
    <t>PRECIO SUBCIDIADO</t>
  </si>
  <si>
    <t>PREGEN</t>
  </si>
  <si>
    <t>PRELOC</t>
  </si>
  <si>
    <t>PRESUB</t>
  </si>
  <si>
    <t>LPxLT</t>
  </si>
  <si>
    <t>MANTTO</t>
  </si>
  <si>
    <t>1</t>
  </si>
  <si>
    <t>11</t>
  </si>
  <si>
    <t>RECLIN</t>
  </si>
  <si>
    <t>9</t>
  </si>
  <si>
    <t>PSERV</t>
  </si>
  <si>
    <t>12</t>
  </si>
  <si>
    <t>MEDGAS</t>
  </si>
  <si>
    <t>8</t>
  </si>
  <si>
    <t>K_TASA_IMPUESTO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</si>
</sst>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$&quot;* #,##0.00_-;\-&quot;$&quot;* #,##0.00_-;_-&quot;$&quot;* &quot;-&quot;??_-;_-@_-"/>
    <numFmt numFmtId="165" formatCode="dd/mmm/yyyy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0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NumberFormat="1"/>
    <xf numFmtId="0" fontId="3" fillId="0" borderId="0" xfId="0" applyFont="1"/>
    <xf numFmtId="14" fontId="0" fillId="0" borderId="0" xfId="0" applyNumberFormat="1" applyFont="1"/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/>
    <xf numFmtId="164" fontId="0" fillId="0" borderId="0" xfId="1" applyFont="1"/>
    <xf numFmtId="164" fontId="5" fillId="0" borderId="0" xfId="1" applyFont="1"/>
    <xf numFmtId="164" fontId="5" fillId="0" borderId="0" xfId="0" applyNumberFormat="1" applyFont="1"/>
    <xf numFmtId="49" fontId="5" fillId="0" borderId="0" xfId="0" applyNumberFormat="1" applyFont="1" applyAlignment="1">
      <alignment horizontal="center"/>
    </xf>
    <xf numFmtId="49" fontId="3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/>
    <xf numFmtId="0" fontId="5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8"/>
  <sheetViews>
    <sheetView tabSelected="1"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24" sqref="O24"/>
    </sheetView>
  </sheetViews>
  <sheetFormatPr baseColWidth="10" defaultRowHeight="15" x14ac:dyDescent="0.25"/>
  <cols>
    <col min="2" max="2" width="14.5703125" style="4" bestFit="1" customWidth="1"/>
    <col min="3" max="3" width="19" bestFit="1" customWidth="1"/>
    <col min="4" max="4" width="15.5703125" bestFit="1" customWidth="1"/>
    <col min="5" max="5" width="9.85546875" style="14" bestFit="1" customWidth="1"/>
    <col min="6" max="6" width="18.42578125" style="14" bestFit="1" customWidth="1"/>
    <col min="7" max="7" width="14.7109375" style="17" bestFit="1" customWidth="1"/>
    <col min="8" max="8" width="13.140625" style="17" bestFit="1" customWidth="1"/>
    <col min="9" max="9" width="18.28515625" style="17" bestFit="1" customWidth="1"/>
    <col min="10" max="10" width="28.7109375" style="1" bestFit="1" customWidth="1"/>
    <col min="11" max="11" width="28.42578125" style="1" bestFit="1" customWidth="1"/>
    <col min="12" max="12" width="17.140625" bestFit="1" customWidth="1"/>
    <col min="13" max="13" width="11.5703125" bestFit="1" customWidth="1"/>
    <col min="14" max="14" width="17.42578125" bestFit="1" customWidth="1"/>
    <col min="15" max="15" width="88.7109375" customWidth="1"/>
    <col min="17" max="17" width="28.5703125" bestFit="1" customWidth="1"/>
    <col min="18" max="18" width="21.5703125" bestFit="1" customWidth="1"/>
    <col min="19" max="19" width="12" bestFit="1" customWidth="1"/>
    <col min="20" max="20" width="31.85546875" customWidth="1"/>
    <col min="21" max="21" width="13.85546875" bestFit="1" customWidth="1"/>
  </cols>
  <sheetData>
    <row r="2" spans="1:23" s="5" customFormat="1" x14ac:dyDescent="0.25">
      <c r="B2" s="4" t="s">
        <v>1</v>
      </c>
      <c r="C2" s="5" t="s">
        <v>2</v>
      </c>
      <c r="D2" s="5" t="s">
        <v>3</v>
      </c>
      <c r="E2" s="4" t="s">
        <v>4</v>
      </c>
      <c r="F2" s="4" t="s">
        <v>5</v>
      </c>
      <c r="G2" s="13" t="s">
        <v>6</v>
      </c>
      <c r="H2" s="13" t="s">
        <v>0</v>
      </c>
      <c r="I2" s="13" t="s">
        <v>28</v>
      </c>
      <c r="J2" s="6" t="s">
        <v>7</v>
      </c>
      <c r="K2" s="6" t="s">
        <v>8</v>
      </c>
      <c r="L2" s="5" t="s">
        <v>9</v>
      </c>
      <c r="M2" s="5" t="s">
        <v>10</v>
      </c>
      <c r="N2" s="5" t="s">
        <v>11</v>
      </c>
      <c r="W2" s="3"/>
    </row>
    <row r="3" spans="1:23" x14ac:dyDescent="0.25">
      <c r="A3" s="4">
        <v>1</v>
      </c>
      <c r="B3" s="12">
        <f t="shared" ref="B3:B19" si="0">H3+100+A3</f>
        <v>102</v>
      </c>
      <c r="C3" t="s">
        <v>18</v>
      </c>
      <c r="D3" s="20" t="str">
        <f>CONCATENATE(C3,"#",B3)</f>
        <v>LPxLT#102</v>
      </c>
      <c r="E3" s="14">
        <v>1</v>
      </c>
      <c r="F3" s="14">
        <v>1</v>
      </c>
      <c r="G3" s="15">
        <v>1</v>
      </c>
      <c r="H3" s="15">
        <v>1</v>
      </c>
      <c r="I3" s="26">
        <v>101</v>
      </c>
      <c r="J3" s="18">
        <v>36526</v>
      </c>
      <c r="K3" s="18">
        <v>43100</v>
      </c>
      <c r="L3" s="23">
        <f>N3/1.16</f>
        <v>17.241379310344829</v>
      </c>
      <c r="M3" s="21">
        <f t="shared" ref="M3:M15" si="1">N3-L3</f>
        <v>2.7586206896551708</v>
      </c>
      <c r="N3" s="21">
        <v>20</v>
      </c>
      <c r="O3" s="3" t="str">
        <f>CONCATENATE("EXECUTE [dbo].[PG_CI_PRECIO] 0, 0,",B3,", '",C3,"', '",D3,"', ",E3,",",F3,",",G3,",",H3,",",I3,",'",TEXT(J3,"YYYY-MM-DD"),"','",TEXT(K3,"YYYY-MM-DD"),"',",L3,",",M3,",",N3,"; ")</f>
        <v xml:space="preserve">EXECUTE [dbo].[PG_CI_PRECIO] 0, 0,102, 'LPxLT', 'LPxLT#102', 1,1,1,1,101,'2000-01-01','2017-12-31',17.2413793103448,2.75862068965517,20; </v>
      </c>
      <c r="S3" s="1"/>
      <c r="W3" s="3"/>
    </row>
    <row r="4" spans="1:23" x14ac:dyDescent="0.25">
      <c r="A4" s="12">
        <f>A3+1</f>
        <v>2</v>
      </c>
      <c r="B4" s="12">
        <f t="shared" si="0"/>
        <v>103</v>
      </c>
      <c r="C4" t="s">
        <v>18</v>
      </c>
      <c r="D4" s="20" t="str">
        <f t="shared" ref="D4:D17" si="2">CONCATENATE(C4,"#",B4)</f>
        <v>LPxLT#103</v>
      </c>
      <c r="E4" s="14">
        <v>1</v>
      </c>
      <c r="F4" s="14">
        <v>1</v>
      </c>
      <c r="G4" s="15">
        <v>1</v>
      </c>
      <c r="H4" s="15">
        <v>1</v>
      </c>
      <c r="I4" s="26">
        <v>102</v>
      </c>
      <c r="J4" s="19">
        <f>K3+1</f>
        <v>43101</v>
      </c>
      <c r="K4" s="19">
        <f>J4+30</f>
        <v>43131</v>
      </c>
      <c r="L4" s="23">
        <f>N4/1.12</f>
        <v>18.303571428571427</v>
      </c>
      <c r="M4" s="21">
        <f t="shared" si="1"/>
        <v>2.196428571428573</v>
      </c>
      <c r="N4" s="22">
        <f>N3+0.5</f>
        <v>20.5</v>
      </c>
      <c r="O4" s="28" t="str">
        <f t="shared" ref="O4:O19" si="3">CONCATENATE("EXECUTE [dbo].[PG_CI_PRECIO] 0, 0,",B4,", '",C4,"', '",D4,"', ",E4,",",F4,",",G4,",",H4,",",I4,",'",TEXT(J4,"YYYY-MM-DD"),"','",TEXT(K4,"YYYY-MM-DD"),"',",L4,",",M4,",",N4,"; ")</f>
        <v xml:space="preserve">EXECUTE [dbo].[PG_CI_PRECIO] 0, 0,103, 'LPxLT', 'LPxLT#103', 1,1,1,1,102,'2018-01-01','2018-01-31',18.3035714285714,2.19642857142857,20.5; </v>
      </c>
      <c r="S4" s="1"/>
      <c r="W4" s="3"/>
    </row>
    <row r="5" spans="1:23" x14ac:dyDescent="0.25">
      <c r="A5" s="12">
        <f t="shared" ref="A5:A13" si="4">A4+1</f>
        <v>3</v>
      </c>
      <c r="B5" s="12">
        <f t="shared" si="0"/>
        <v>104</v>
      </c>
      <c r="C5" t="s">
        <v>18</v>
      </c>
      <c r="D5" s="20" t="str">
        <f t="shared" si="2"/>
        <v>LPxLT#104</v>
      </c>
      <c r="E5" s="14">
        <v>1</v>
      </c>
      <c r="F5" s="14">
        <v>1</v>
      </c>
      <c r="G5" s="15">
        <v>1</v>
      </c>
      <c r="H5" s="15">
        <v>1</v>
      </c>
      <c r="I5" s="26">
        <v>103</v>
      </c>
      <c r="J5" s="19">
        <f t="shared" ref="J5:J15" si="5">K4+1</f>
        <v>43132</v>
      </c>
      <c r="K5" s="19">
        <f t="shared" ref="K5:K15" si="6">J5+30</f>
        <v>43162</v>
      </c>
      <c r="L5" s="23">
        <f>N5/1.14</f>
        <v>18.421052631578949</v>
      </c>
      <c r="M5" s="21">
        <f t="shared" si="1"/>
        <v>2.5789473684210513</v>
      </c>
      <c r="N5" s="22">
        <f t="shared" ref="N5:N15" si="7">N4+0.5</f>
        <v>21</v>
      </c>
      <c r="O5" s="28" t="str">
        <f t="shared" si="3"/>
        <v xml:space="preserve">EXECUTE [dbo].[PG_CI_PRECIO] 0, 0,104, 'LPxLT', 'LPxLT#104', 1,1,1,1,103,'2018-02-01','2018-03-03',18.4210526315789,2.57894736842105,21; </v>
      </c>
      <c r="S5" s="1"/>
      <c r="W5" s="3"/>
    </row>
    <row r="6" spans="1:23" x14ac:dyDescent="0.25">
      <c r="A6" s="12">
        <f t="shared" si="4"/>
        <v>4</v>
      </c>
      <c r="B6" s="12">
        <f t="shared" si="0"/>
        <v>105</v>
      </c>
      <c r="C6" t="s">
        <v>18</v>
      </c>
      <c r="D6" s="20" t="str">
        <f t="shared" si="2"/>
        <v>LPxLT#105</v>
      </c>
      <c r="E6" s="14">
        <v>1</v>
      </c>
      <c r="F6" s="14">
        <v>1</v>
      </c>
      <c r="G6" s="15">
        <v>1</v>
      </c>
      <c r="H6" s="15">
        <v>1</v>
      </c>
      <c r="I6" s="26">
        <v>104</v>
      </c>
      <c r="J6" s="19">
        <f t="shared" si="5"/>
        <v>43163</v>
      </c>
      <c r="K6" s="19">
        <f t="shared" si="6"/>
        <v>43193</v>
      </c>
      <c r="L6" s="23">
        <f>N6/1.1</f>
        <v>19.545454545454543</v>
      </c>
      <c r="M6" s="21">
        <f t="shared" si="1"/>
        <v>1.9545454545454568</v>
      </c>
      <c r="N6" s="22">
        <f t="shared" si="7"/>
        <v>21.5</v>
      </c>
      <c r="O6" s="28" t="str">
        <f t="shared" si="3"/>
        <v xml:space="preserve">EXECUTE [dbo].[PG_CI_PRECIO] 0, 0,105, 'LPxLT', 'LPxLT#105', 1,1,1,1,104,'2018-03-04','2018-04-03',19.5454545454545,1.95454545454546,21.5; </v>
      </c>
      <c r="S6" s="1"/>
      <c r="W6" s="3"/>
    </row>
    <row r="7" spans="1:23" x14ac:dyDescent="0.25">
      <c r="A7" s="12">
        <f t="shared" si="4"/>
        <v>5</v>
      </c>
      <c r="B7" s="12">
        <f t="shared" si="0"/>
        <v>106</v>
      </c>
      <c r="C7" t="s">
        <v>18</v>
      </c>
      <c r="D7" s="20" t="str">
        <f t="shared" si="2"/>
        <v>LPxLT#106</v>
      </c>
      <c r="E7" s="14">
        <v>1</v>
      </c>
      <c r="F7" s="14">
        <v>1</v>
      </c>
      <c r="G7" s="15">
        <v>1</v>
      </c>
      <c r="H7" s="15">
        <v>1</v>
      </c>
      <c r="I7" s="26">
        <v>105</v>
      </c>
      <c r="J7" s="19">
        <f t="shared" si="5"/>
        <v>43194</v>
      </c>
      <c r="K7" s="19">
        <f t="shared" si="6"/>
        <v>43224</v>
      </c>
      <c r="L7" s="23">
        <f t="shared" ref="L7:L13" si="8">N7/1.16</f>
        <v>18.965517241379313</v>
      </c>
      <c r="M7" s="21">
        <f t="shared" si="1"/>
        <v>3.0344827586206868</v>
      </c>
      <c r="N7" s="22">
        <f t="shared" si="7"/>
        <v>22</v>
      </c>
      <c r="O7" s="28" t="str">
        <f t="shared" si="3"/>
        <v xml:space="preserve">EXECUTE [dbo].[PG_CI_PRECIO] 0, 0,106, 'LPxLT', 'LPxLT#106', 1,1,1,1,105,'2018-04-04','2018-05-04',18.9655172413793,3.03448275862069,22; </v>
      </c>
      <c r="S7" s="1"/>
      <c r="W7" s="3"/>
    </row>
    <row r="8" spans="1:23" x14ac:dyDescent="0.25">
      <c r="A8" s="12">
        <f t="shared" si="4"/>
        <v>6</v>
      </c>
      <c r="B8" s="12">
        <f t="shared" si="0"/>
        <v>107</v>
      </c>
      <c r="C8" t="s">
        <v>18</v>
      </c>
      <c r="D8" s="20" t="str">
        <f t="shared" si="2"/>
        <v>LPxLT#107</v>
      </c>
      <c r="E8" s="14">
        <v>1</v>
      </c>
      <c r="F8" s="14">
        <v>1</v>
      </c>
      <c r="G8" s="15">
        <v>1</v>
      </c>
      <c r="H8" s="15">
        <v>1</v>
      </c>
      <c r="I8" s="26">
        <v>106</v>
      </c>
      <c r="J8" s="19">
        <f t="shared" si="5"/>
        <v>43225</v>
      </c>
      <c r="K8" s="19">
        <f t="shared" si="6"/>
        <v>43255</v>
      </c>
      <c r="L8" s="23">
        <f>N8/1.08</f>
        <v>20.833333333333332</v>
      </c>
      <c r="M8" s="21">
        <f t="shared" si="1"/>
        <v>1.6666666666666679</v>
      </c>
      <c r="N8" s="22">
        <f t="shared" si="7"/>
        <v>22.5</v>
      </c>
      <c r="O8" s="28" t="str">
        <f t="shared" si="3"/>
        <v xml:space="preserve">EXECUTE [dbo].[PG_CI_PRECIO] 0, 0,107, 'LPxLT', 'LPxLT#107', 1,1,1,1,106,'2018-05-05','2018-06-04',20.8333333333333,1.66666666666667,22.5; </v>
      </c>
      <c r="S8" s="1"/>
      <c r="W8" s="3"/>
    </row>
    <row r="9" spans="1:23" x14ac:dyDescent="0.25">
      <c r="A9" s="12">
        <f t="shared" si="4"/>
        <v>7</v>
      </c>
      <c r="B9" s="12">
        <f t="shared" si="0"/>
        <v>108</v>
      </c>
      <c r="C9" t="s">
        <v>18</v>
      </c>
      <c r="D9" s="20" t="str">
        <f t="shared" si="2"/>
        <v>LPxLT#108</v>
      </c>
      <c r="E9" s="14">
        <v>1</v>
      </c>
      <c r="F9" s="14">
        <v>1</v>
      </c>
      <c r="G9" s="15">
        <v>1</v>
      </c>
      <c r="H9" s="15">
        <v>1</v>
      </c>
      <c r="I9" s="27">
        <v>101</v>
      </c>
      <c r="J9" s="19">
        <f t="shared" si="5"/>
        <v>43256</v>
      </c>
      <c r="K9" s="19">
        <f t="shared" si="6"/>
        <v>43286</v>
      </c>
      <c r="L9" s="23">
        <f t="shared" si="8"/>
        <v>19.827586206896552</v>
      </c>
      <c r="M9" s="21">
        <f t="shared" si="1"/>
        <v>3.1724137931034484</v>
      </c>
      <c r="N9" s="22">
        <f t="shared" si="7"/>
        <v>23</v>
      </c>
      <c r="O9" s="28" t="str">
        <f t="shared" si="3"/>
        <v xml:space="preserve">EXECUTE [dbo].[PG_CI_PRECIO] 0, 0,108, 'LPxLT', 'LPxLT#108', 1,1,1,1,101,'2018-06-05','2018-07-05',19.8275862068966,3.17241379310345,23; </v>
      </c>
      <c r="S9" s="1"/>
      <c r="W9" s="3"/>
    </row>
    <row r="10" spans="1:23" x14ac:dyDescent="0.25">
      <c r="A10" s="12">
        <f t="shared" si="4"/>
        <v>8</v>
      </c>
      <c r="B10" s="12">
        <f t="shared" si="0"/>
        <v>109</v>
      </c>
      <c r="C10" t="s">
        <v>18</v>
      </c>
      <c r="D10" s="20" t="str">
        <f t="shared" si="2"/>
        <v>LPxLT#109</v>
      </c>
      <c r="E10" s="14">
        <v>1</v>
      </c>
      <c r="F10" s="14">
        <v>1</v>
      </c>
      <c r="G10" s="15">
        <v>1</v>
      </c>
      <c r="H10" s="15">
        <v>1</v>
      </c>
      <c r="I10" s="27">
        <v>102</v>
      </c>
      <c r="J10" s="19">
        <f t="shared" si="5"/>
        <v>43287</v>
      </c>
      <c r="K10" s="19">
        <f t="shared" si="6"/>
        <v>43317</v>
      </c>
      <c r="L10" s="23">
        <f>N10/1.12</f>
        <v>20.982142857142854</v>
      </c>
      <c r="M10" s="21">
        <f t="shared" si="1"/>
        <v>2.5178571428571459</v>
      </c>
      <c r="N10" s="22">
        <f t="shared" si="7"/>
        <v>23.5</v>
      </c>
      <c r="O10" s="28" t="str">
        <f t="shared" si="3"/>
        <v xml:space="preserve">EXECUTE [dbo].[PG_CI_PRECIO] 0, 0,109, 'LPxLT', 'LPxLT#109', 1,1,1,1,102,'2018-07-06','2018-08-05',20.9821428571429,2.51785714285715,23.5; </v>
      </c>
      <c r="T10" s="7"/>
    </row>
    <row r="11" spans="1:23" x14ac:dyDescent="0.25">
      <c r="A11" s="12">
        <f t="shared" si="4"/>
        <v>9</v>
      </c>
      <c r="B11" s="12">
        <f t="shared" si="0"/>
        <v>110</v>
      </c>
      <c r="C11" t="s">
        <v>18</v>
      </c>
      <c r="D11" s="20" t="str">
        <f t="shared" si="2"/>
        <v>LPxLT#110</v>
      </c>
      <c r="E11" s="14">
        <v>1</v>
      </c>
      <c r="F11" s="14">
        <v>1</v>
      </c>
      <c r="G11" s="15">
        <v>1</v>
      </c>
      <c r="H11" s="15">
        <v>1</v>
      </c>
      <c r="I11" s="27">
        <v>103</v>
      </c>
      <c r="J11" s="19">
        <f t="shared" si="5"/>
        <v>43318</v>
      </c>
      <c r="K11" s="19">
        <f t="shared" si="6"/>
        <v>43348</v>
      </c>
      <c r="L11" s="23">
        <f>N11/1.14</f>
        <v>21.05263157894737</v>
      </c>
      <c r="M11" s="21">
        <f t="shared" si="1"/>
        <v>2.9473684210526301</v>
      </c>
      <c r="N11" s="22">
        <f t="shared" si="7"/>
        <v>24</v>
      </c>
      <c r="O11" s="28" t="str">
        <f t="shared" si="3"/>
        <v xml:space="preserve">EXECUTE [dbo].[PG_CI_PRECIO] 0, 0,110, 'LPxLT', 'LPxLT#110', 1,1,1,1,103,'2018-08-06','2018-09-05',21.0526315789474,2.94736842105263,24; </v>
      </c>
      <c r="P11" s="2"/>
      <c r="Q11" s="2"/>
      <c r="R11" s="2"/>
      <c r="S11" s="2"/>
      <c r="T11" s="7"/>
    </row>
    <row r="12" spans="1:23" x14ac:dyDescent="0.25">
      <c r="A12" s="12">
        <f t="shared" si="4"/>
        <v>10</v>
      </c>
      <c r="B12" s="12">
        <f t="shared" si="0"/>
        <v>111</v>
      </c>
      <c r="C12" t="s">
        <v>18</v>
      </c>
      <c r="D12" s="20" t="str">
        <f t="shared" si="2"/>
        <v>LPxLT#111</v>
      </c>
      <c r="E12" s="14">
        <v>1</v>
      </c>
      <c r="F12" s="14">
        <v>1</v>
      </c>
      <c r="G12" s="15">
        <v>1</v>
      </c>
      <c r="H12" s="15">
        <v>1</v>
      </c>
      <c r="I12" s="27">
        <v>104</v>
      </c>
      <c r="J12" s="19">
        <f t="shared" si="5"/>
        <v>43349</v>
      </c>
      <c r="K12" s="19">
        <f t="shared" si="6"/>
        <v>43379</v>
      </c>
      <c r="L12" s="23">
        <f>N12/1.1</f>
        <v>22.27272727272727</v>
      </c>
      <c r="M12" s="21">
        <f t="shared" si="1"/>
        <v>2.2272727272727302</v>
      </c>
      <c r="N12" s="22">
        <f t="shared" si="7"/>
        <v>24.5</v>
      </c>
      <c r="O12" s="28" t="str">
        <f t="shared" si="3"/>
        <v xml:space="preserve">EXECUTE [dbo].[PG_CI_PRECIO] 0, 0,111, 'LPxLT', 'LPxLT#111', 1,1,1,1,104,'2018-09-06','2018-10-06',22.2727272727273,2.22727272727273,24.5; </v>
      </c>
      <c r="T12" s="7"/>
    </row>
    <row r="13" spans="1:23" x14ac:dyDescent="0.25">
      <c r="A13" s="12">
        <f t="shared" si="4"/>
        <v>11</v>
      </c>
      <c r="B13" s="12">
        <f t="shared" si="0"/>
        <v>112</v>
      </c>
      <c r="C13" t="s">
        <v>18</v>
      </c>
      <c r="D13" s="20" t="str">
        <f t="shared" si="2"/>
        <v>LPxLT#112</v>
      </c>
      <c r="E13" s="14">
        <v>1</v>
      </c>
      <c r="F13" s="14">
        <v>1</v>
      </c>
      <c r="G13" s="15">
        <v>1</v>
      </c>
      <c r="H13" s="15">
        <v>1</v>
      </c>
      <c r="I13" s="27">
        <v>105</v>
      </c>
      <c r="J13" s="19">
        <f t="shared" si="5"/>
        <v>43380</v>
      </c>
      <c r="K13" s="19">
        <f t="shared" si="6"/>
        <v>43410</v>
      </c>
      <c r="L13" s="23">
        <f t="shared" si="8"/>
        <v>21.551724137931036</v>
      </c>
      <c r="M13" s="21">
        <f t="shared" si="1"/>
        <v>3.4482758620689644</v>
      </c>
      <c r="N13" s="22">
        <f t="shared" si="7"/>
        <v>25</v>
      </c>
      <c r="O13" s="28" t="str">
        <f t="shared" si="3"/>
        <v xml:space="preserve">EXECUTE [dbo].[PG_CI_PRECIO] 0, 0,112, 'LPxLT', 'LPxLT#112', 1,1,1,1,105,'2018-10-07','2018-11-06',21.551724137931,3.44827586206896,25; </v>
      </c>
      <c r="T13" s="7"/>
    </row>
    <row r="14" spans="1:23" x14ac:dyDescent="0.25">
      <c r="A14" s="12">
        <f t="shared" ref="A14:A19" si="9">A13+1</f>
        <v>12</v>
      </c>
      <c r="B14" s="12">
        <f t="shared" si="0"/>
        <v>113</v>
      </c>
      <c r="C14" t="s">
        <v>18</v>
      </c>
      <c r="D14" s="20" t="str">
        <f t="shared" si="2"/>
        <v>LPxLT#113</v>
      </c>
      <c r="E14" s="14">
        <v>1</v>
      </c>
      <c r="F14" s="14">
        <v>1</v>
      </c>
      <c r="G14" s="15">
        <v>1</v>
      </c>
      <c r="H14" s="15">
        <v>1</v>
      </c>
      <c r="I14" s="27">
        <v>106</v>
      </c>
      <c r="J14" s="19">
        <f t="shared" si="5"/>
        <v>43411</v>
      </c>
      <c r="K14" s="19">
        <f t="shared" si="6"/>
        <v>43441</v>
      </c>
      <c r="L14" s="23">
        <f>N14/1.08</f>
        <v>23.611111111111111</v>
      </c>
      <c r="M14" s="21">
        <f t="shared" si="1"/>
        <v>1.8888888888888893</v>
      </c>
      <c r="N14" s="22">
        <f t="shared" si="7"/>
        <v>25.5</v>
      </c>
      <c r="O14" s="28" t="str">
        <f t="shared" si="3"/>
        <v xml:space="preserve">EXECUTE [dbo].[PG_CI_PRECIO] 0, 0,113, 'LPxLT', 'LPxLT#113', 1,1,1,1,106,'2018-11-07','2018-12-07',23.6111111111111,1.88888888888889,25.5; </v>
      </c>
      <c r="T14" s="7"/>
    </row>
    <row r="15" spans="1:23" x14ac:dyDescent="0.25">
      <c r="A15" s="12">
        <f t="shared" si="9"/>
        <v>13</v>
      </c>
      <c r="B15" s="12">
        <f t="shared" si="0"/>
        <v>114</v>
      </c>
      <c r="C15" t="s">
        <v>18</v>
      </c>
      <c r="D15" s="20" t="str">
        <f t="shared" si="2"/>
        <v>LPxLT#114</v>
      </c>
      <c r="E15" s="14">
        <v>1</v>
      </c>
      <c r="F15" s="14">
        <v>1</v>
      </c>
      <c r="G15" s="15">
        <v>1</v>
      </c>
      <c r="H15" s="15">
        <v>1</v>
      </c>
      <c r="I15" s="29">
        <v>101</v>
      </c>
      <c r="J15" s="19">
        <f t="shared" si="5"/>
        <v>43442</v>
      </c>
      <c r="K15" s="19">
        <f t="shared" si="6"/>
        <v>43472</v>
      </c>
      <c r="L15" s="23">
        <f>N15/1.16</f>
        <v>22.413793103448278</v>
      </c>
      <c r="M15" s="21">
        <f t="shared" si="1"/>
        <v>3.5862068965517224</v>
      </c>
      <c r="N15" s="22">
        <f t="shared" si="7"/>
        <v>26</v>
      </c>
      <c r="O15" s="28" t="str">
        <f t="shared" si="3"/>
        <v xml:space="preserve">EXECUTE [dbo].[PG_CI_PRECIO] 0, 0,114, 'LPxLT', 'LPxLT#114', 1,1,1,1,101,'2018-12-08','2019-01-07',22.4137931034483,3.58620689655172,26; </v>
      </c>
      <c r="T15" s="7"/>
    </row>
    <row r="16" spans="1:23" x14ac:dyDescent="0.25">
      <c r="A16" s="12">
        <f t="shared" si="9"/>
        <v>14</v>
      </c>
      <c r="B16" s="12">
        <f t="shared" si="0"/>
        <v>122</v>
      </c>
      <c r="C16" t="s">
        <v>26</v>
      </c>
      <c r="D16" s="20" t="str">
        <f>CONCATENATE(C16,"#",B16)</f>
        <v>MEDGAS#122</v>
      </c>
      <c r="E16" s="14">
        <v>1</v>
      </c>
      <c r="F16" s="14">
        <v>1</v>
      </c>
      <c r="G16" s="17" t="s">
        <v>20</v>
      </c>
      <c r="H16" s="17" t="s">
        <v>27</v>
      </c>
      <c r="I16" s="29">
        <v>102</v>
      </c>
      <c r="J16" s="19">
        <f>J7+1</f>
        <v>43195</v>
      </c>
      <c r="K16" s="19">
        <f>J16+270</f>
        <v>43465</v>
      </c>
      <c r="L16" s="23">
        <f>N16/1.12</f>
        <v>446.42857142857139</v>
      </c>
      <c r="M16" s="21">
        <f t="shared" ref="M16" si="10">N16-L16</f>
        <v>53.571428571428612</v>
      </c>
      <c r="N16" s="22">
        <v>500</v>
      </c>
      <c r="O16" s="28" t="str">
        <f t="shared" si="3"/>
        <v xml:space="preserve">EXECUTE [dbo].[PG_CI_PRECIO] 0, 0,122, 'MEDGAS', 'MEDGAS#122', 1,1,1,8,102,'2018-04-05','2018-12-31',446.428571428571,53.5714285714286,500; </v>
      </c>
      <c r="T16" s="8"/>
    </row>
    <row r="17" spans="1:20" x14ac:dyDescent="0.25">
      <c r="A17" s="12">
        <f t="shared" si="9"/>
        <v>15</v>
      </c>
      <c r="B17" s="12">
        <f t="shared" si="0"/>
        <v>124</v>
      </c>
      <c r="C17" t="s">
        <v>22</v>
      </c>
      <c r="D17" s="20" t="str">
        <f t="shared" si="2"/>
        <v>RECLIN#124</v>
      </c>
      <c r="E17" s="14">
        <v>1</v>
      </c>
      <c r="F17" s="14">
        <v>1</v>
      </c>
      <c r="G17" s="17" t="s">
        <v>20</v>
      </c>
      <c r="H17" s="17" t="s">
        <v>23</v>
      </c>
      <c r="I17" s="29">
        <v>103</v>
      </c>
      <c r="J17" s="19">
        <f>J5+1</f>
        <v>43133</v>
      </c>
      <c r="K17" s="19">
        <f>J17+330</f>
        <v>43463</v>
      </c>
      <c r="L17" s="23">
        <f>N17/1.14</f>
        <v>175.43859649122808</v>
      </c>
      <c r="M17" s="21">
        <f t="shared" ref="M17:M18" si="11">N17-L17</f>
        <v>24.561403508771917</v>
      </c>
      <c r="N17" s="22">
        <v>200</v>
      </c>
      <c r="O17" s="28" t="str">
        <f t="shared" si="3"/>
        <v xml:space="preserve">EXECUTE [dbo].[PG_CI_PRECIO] 0, 0,124, 'RECLIN', 'RECLIN#124', 1,1,1,9,103,'2018-02-02','2018-12-29',175.438596491228,24.5614035087719,200; </v>
      </c>
      <c r="T17" s="8"/>
    </row>
    <row r="18" spans="1:20" x14ac:dyDescent="0.25">
      <c r="A18" s="12">
        <f t="shared" si="9"/>
        <v>16</v>
      </c>
      <c r="B18" s="24">
        <f t="shared" si="0"/>
        <v>127</v>
      </c>
      <c r="C18" t="s">
        <v>19</v>
      </c>
      <c r="D18" s="20" t="str">
        <f t="shared" ref="D18" si="12">CONCATENATE(C18,"#",B18)</f>
        <v>MANTTO#127</v>
      </c>
      <c r="E18" s="14">
        <v>1</v>
      </c>
      <c r="F18" s="14">
        <v>1</v>
      </c>
      <c r="G18" s="16" t="s">
        <v>20</v>
      </c>
      <c r="H18" s="16" t="s">
        <v>21</v>
      </c>
      <c r="I18" s="29">
        <v>104</v>
      </c>
      <c r="J18" s="19">
        <f>J6+1</f>
        <v>43164</v>
      </c>
      <c r="K18" s="19">
        <f>J18+300</f>
        <v>43464</v>
      </c>
      <c r="L18" s="23">
        <f>N18/1.1</f>
        <v>105.45454545454544</v>
      </c>
      <c r="M18" s="21">
        <f t="shared" si="11"/>
        <v>10.545454545454561</v>
      </c>
      <c r="N18" s="22">
        <v>116</v>
      </c>
      <c r="O18" s="28" t="str">
        <f t="shared" si="3"/>
        <v xml:space="preserve">EXECUTE [dbo].[PG_CI_PRECIO] 0, 0,127, 'MANTTO', 'MANTTO#127', 1,1,1,11,104,'2018-03-05','2018-12-30',105.454545454545,10.5454545454546,116; </v>
      </c>
      <c r="T18" s="7"/>
    </row>
    <row r="19" spans="1:20" x14ac:dyDescent="0.25">
      <c r="A19" s="12">
        <f t="shared" si="9"/>
        <v>17</v>
      </c>
      <c r="B19" s="12">
        <f t="shared" si="0"/>
        <v>129</v>
      </c>
      <c r="C19" t="s">
        <v>24</v>
      </c>
      <c r="D19" s="20" t="str">
        <f>CONCATENATE(C19,"#",B19)</f>
        <v>PSERV#129</v>
      </c>
      <c r="E19" s="14">
        <v>1</v>
      </c>
      <c r="F19" s="14">
        <v>1</v>
      </c>
      <c r="G19" s="17" t="s">
        <v>20</v>
      </c>
      <c r="H19" s="17" t="s">
        <v>25</v>
      </c>
      <c r="I19" s="29">
        <v>105</v>
      </c>
      <c r="J19" s="19">
        <f>J6+1</f>
        <v>43164</v>
      </c>
      <c r="K19" s="19">
        <f>J19+300</f>
        <v>43464</v>
      </c>
      <c r="L19" s="23">
        <f>N19/1.16</f>
        <v>10.344827586206897</v>
      </c>
      <c r="M19" s="21">
        <f t="shared" ref="M19" si="13">N19-L19</f>
        <v>1.6551724137931032</v>
      </c>
      <c r="N19" s="22">
        <f>12</f>
        <v>12</v>
      </c>
      <c r="O19" s="28" t="str">
        <f t="shared" si="3"/>
        <v xml:space="preserve">EXECUTE [dbo].[PG_CI_PRECIO] 0, 0,129, 'PSERV', 'PSERV#129', 1,1,1,12,105,'2018-03-05','2018-12-30',10.3448275862069,1.6551724137931,12; </v>
      </c>
      <c r="T19" s="8"/>
    </row>
    <row r="20" spans="1:20" x14ac:dyDescent="0.25">
      <c r="I20" s="29"/>
    </row>
    <row r="21" spans="1:20" x14ac:dyDescent="0.25">
      <c r="T21" s="8"/>
    </row>
    <row r="22" spans="1:20" x14ac:dyDescent="0.25">
      <c r="J22" s="25"/>
      <c r="T22" s="8"/>
    </row>
    <row r="23" spans="1:20" x14ac:dyDescent="0.25">
      <c r="T23" s="8"/>
    </row>
    <row r="24" spans="1:20" x14ac:dyDescent="0.25">
      <c r="T24" s="8"/>
    </row>
    <row r="25" spans="1:20" x14ac:dyDescent="0.25">
      <c r="T25" s="8"/>
    </row>
    <row r="26" spans="1:20" x14ac:dyDescent="0.25">
      <c r="T26" s="8"/>
    </row>
    <row r="27" spans="1:20" x14ac:dyDescent="0.25">
      <c r="T27" s="8"/>
    </row>
    <row r="28" spans="1:20" x14ac:dyDescent="0.25">
      <c r="T28" s="8"/>
    </row>
    <row r="29" spans="1:20" x14ac:dyDescent="0.25">
      <c r="T29" s="8"/>
    </row>
    <row r="30" spans="1:20" x14ac:dyDescent="0.25">
      <c r="T30" s="8"/>
    </row>
    <row r="31" spans="1:20" x14ac:dyDescent="0.25">
      <c r="T31" s="8"/>
    </row>
    <row r="32" spans="1:20" x14ac:dyDescent="0.25">
      <c r="T32" s="8"/>
    </row>
    <row r="33" spans="10:20" x14ac:dyDescent="0.25">
      <c r="T33" s="8"/>
    </row>
    <row r="34" spans="10:20" x14ac:dyDescent="0.25">
      <c r="T34" s="8"/>
    </row>
    <row r="35" spans="10:20" x14ac:dyDescent="0.25">
      <c r="T35" s="8"/>
    </row>
    <row r="36" spans="10:20" x14ac:dyDescent="0.25">
      <c r="T36" s="8"/>
    </row>
    <row r="37" spans="10:20" x14ac:dyDescent="0.25">
      <c r="T37" s="8"/>
    </row>
    <row r="38" spans="10:20" x14ac:dyDescent="0.25">
      <c r="T38" s="8"/>
    </row>
    <row r="39" spans="10:20" x14ac:dyDescent="0.25">
      <c r="T39" s="8"/>
    </row>
    <row r="48" spans="10:20" x14ac:dyDescent="0.25">
      <c r="J48" s="1">
        <v>43053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5"/>
  <sheetViews>
    <sheetView topLeftCell="G1" workbookViewId="0">
      <selection activeCell="N3" sqref="N3"/>
    </sheetView>
  </sheetViews>
  <sheetFormatPr baseColWidth="10" defaultRowHeight="15" x14ac:dyDescent="0.25"/>
  <cols>
    <col min="3" max="3" width="19" bestFit="1" customWidth="1"/>
  </cols>
  <sheetData>
    <row r="2" spans="2:22" s="5" customFormat="1" x14ac:dyDescent="0.3"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6" t="s">
        <v>0</v>
      </c>
      <c r="I2" s="6" t="s">
        <v>7</v>
      </c>
      <c r="J2" s="6" t="s">
        <v>8</v>
      </c>
      <c r="K2" s="5" t="s">
        <v>9</v>
      </c>
      <c r="L2" s="5" t="s">
        <v>10</v>
      </c>
      <c r="M2" s="5" t="s">
        <v>11</v>
      </c>
      <c r="V2" s="3"/>
    </row>
    <row r="3" spans="2:22" x14ac:dyDescent="0.3">
      <c r="B3" s="4">
        <v>1</v>
      </c>
      <c r="C3" t="s">
        <v>12</v>
      </c>
      <c r="D3" t="s">
        <v>15</v>
      </c>
      <c r="E3">
        <v>1</v>
      </c>
      <c r="F3">
        <v>1</v>
      </c>
      <c r="G3" s="9">
        <v>1</v>
      </c>
      <c r="H3" s="9">
        <v>1</v>
      </c>
      <c r="I3" s="11">
        <v>43393</v>
      </c>
      <c r="J3" s="11">
        <v>43424</v>
      </c>
      <c r="K3">
        <v>15</v>
      </c>
      <c r="L3">
        <f>M3-K3</f>
        <v>2.3999999999999986</v>
      </c>
      <c r="M3">
        <f>(K3*0.16)+K3</f>
        <v>17.399999999999999</v>
      </c>
      <c r="N3" s="3" t="str">
        <f>CONCATENATE("EXECUTE [dbo].[PG_CF_PRECIO] 0, 0,",B3,", '",C3,"', '",D3,"', ",E3,",",F3,",",G3,",",H3,",'",TEXT(I3,"AAAA-DD-MM"),"','",TEXT(J3,"AAAA-DD-MM"),"',",K3,",",L3,",",M3,"; ")</f>
        <v xml:space="preserve">EXECUTE [dbo].[PG_CF_PRECIO] 0, 0,1, 'PRECIO GENERAL', 'PREGEN', 1,1,1,1,'2018-20-10','2018-20-11',15,2.4,17.4; </v>
      </c>
      <c r="R3" s="1"/>
      <c r="V3" s="3"/>
    </row>
    <row r="4" spans="2:22" x14ac:dyDescent="0.3">
      <c r="B4" s="4">
        <v>2</v>
      </c>
      <c r="C4" t="s">
        <v>13</v>
      </c>
      <c r="D4" t="s">
        <v>16</v>
      </c>
      <c r="E4">
        <v>1</v>
      </c>
      <c r="F4">
        <v>1</v>
      </c>
      <c r="G4" s="9">
        <v>3</v>
      </c>
      <c r="H4" s="9">
        <v>1</v>
      </c>
      <c r="I4" s="11">
        <v>43394</v>
      </c>
      <c r="J4" s="11">
        <v>43425</v>
      </c>
      <c r="K4">
        <v>16</v>
      </c>
      <c r="L4">
        <f t="shared" ref="L4:L9" si="0">M4-K4</f>
        <v>2.5599999999999987</v>
      </c>
      <c r="M4">
        <f t="shared" ref="M4:M9" si="1">(K4*0.16)+K4</f>
        <v>18.559999999999999</v>
      </c>
      <c r="N4" s="3" t="str">
        <f t="shared" ref="N4:N9" si="2">CONCATENATE("EXECUTE [dbo].[PG_CF_PRECIO] 0, 0,",B4,", '",C4,"', '",D4,"', ",E4,",",F4,",",G4,",",H4,",'",TEXT(I4,"AAAA-DD-MM"),"','",TEXT(J4,"AAAA-DD-MM"),"',",K4,",",L4,",",M4,"; ")</f>
        <v xml:space="preserve">EXECUTE [dbo].[PG_CF_PRECIO] 0, 0,2, 'PRECIO LOCAL', 'PRELOC', 1,1,3,1,'2018-21-10','2018-21-11',16,2.56,18.56; </v>
      </c>
      <c r="R4" s="1"/>
      <c r="V4" s="3"/>
    </row>
    <row r="5" spans="2:22" x14ac:dyDescent="0.3">
      <c r="B5" s="4">
        <v>3</v>
      </c>
      <c r="C5" t="s">
        <v>14</v>
      </c>
      <c r="D5" t="s">
        <v>17</v>
      </c>
      <c r="E5">
        <v>1</v>
      </c>
      <c r="F5">
        <v>0</v>
      </c>
      <c r="G5" s="9">
        <v>1</v>
      </c>
      <c r="H5" s="9">
        <v>1</v>
      </c>
      <c r="I5" s="11">
        <v>43395</v>
      </c>
      <c r="J5" s="11">
        <v>43426</v>
      </c>
      <c r="K5">
        <v>13</v>
      </c>
      <c r="L5">
        <f t="shared" si="0"/>
        <v>2.08</v>
      </c>
      <c r="M5">
        <f t="shared" si="1"/>
        <v>15.08</v>
      </c>
      <c r="N5" s="3" t="str">
        <f t="shared" si="2"/>
        <v xml:space="preserve">EXECUTE [dbo].[PG_CF_PRECIO] 0, 0,3, 'PRECIO SUBCIDIADO', 'PRESUB', 1,0,1,1,'2018-22-10','2018-22-11',13,2.08,15.08; </v>
      </c>
      <c r="R5" s="1"/>
      <c r="V5" s="3"/>
    </row>
    <row r="6" spans="2:22" x14ac:dyDescent="0.3">
      <c r="B6" s="4">
        <v>4</v>
      </c>
      <c r="C6" t="s">
        <v>12</v>
      </c>
      <c r="D6" t="s">
        <v>15</v>
      </c>
      <c r="E6">
        <v>1</v>
      </c>
      <c r="F6">
        <v>1</v>
      </c>
      <c r="G6" s="9">
        <v>1</v>
      </c>
      <c r="H6" s="9">
        <v>2</v>
      </c>
      <c r="I6" s="11">
        <v>43396</v>
      </c>
      <c r="J6" s="11">
        <v>43427</v>
      </c>
      <c r="K6">
        <v>14.56</v>
      </c>
      <c r="L6">
        <f t="shared" si="0"/>
        <v>2.329600000000001</v>
      </c>
      <c r="M6">
        <f t="shared" si="1"/>
        <v>16.889600000000002</v>
      </c>
      <c r="N6" s="3" t="str">
        <f t="shared" si="2"/>
        <v xml:space="preserve">EXECUTE [dbo].[PG_CF_PRECIO] 0, 0,4, 'PRECIO GENERAL', 'PREGEN', 1,1,1,2,'2018-23-10','2018-23-11',14.56,2.3296,16.8896; </v>
      </c>
      <c r="R6" s="1"/>
      <c r="V6" s="3"/>
    </row>
    <row r="7" spans="2:22" x14ac:dyDescent="0.3">
      <c r="B7" s="4">
        <v>5</v>
      </c>
      <c r="C7" t="s">
        <v>13</v>
      </c>
      <c r="D7" t="s">
        <v>16</v>
      </c>
      <c r="E7">
        <v>1</v>
      </c>
      <c r="F7">
        <v>1</v>
      </c>
      <c r="G7" s="9">
        <v>3</v>
      </c>
      <c r="H7" s="9">
        <v>2</v>
      </c>
      <c r="I7" s="11">
        <v>43397</v>
      </c>
      <c r="J7" s="11">
        <v>43428</v>
      </c>
      <c r="K7">
        <v>15.5</v>
      </c>
      <c r="L7">
        <f t="shared" si="0"/>
        <v>2.4800000000000004</v>
      </c>
      <c r="M7">
        <f t="shared" si="1"/>
        <v>17.98</v>
      </c>
      <c r="N7" s="3" t="str">
        <f t="shared" si="2"/>
        <v xml:space="preserve">EXECUTE [dbo].[PG_CF_PRECIO] 0, 0,5, 'PRECIO LOCAL', 'PRELOC', 1,1,3,2,'2018-24-10','2018-24-11',15.5,2.48,17.98; </v>
      </c>
      <c r="R7" s="1"/>
      <c r="V7" s="3"/>
    </row>
    <row r="8" spans="2:22" x14ac:dyDescent="0.3">
      <c r="B8" s="4">
        <v>6</v>
      </c>
      <c r="C8" t="s">
        <v>12</v>
      </c>
      <c r="D8" t="s">
        <v>15</v>
      </c>
      <c r="E8">
        <v>1</v>
      </c>
      <c r="F8">
        <v>1</v>
      </c>
      <c r="G8" s="9">
        <v>1</v>
      </c>
      <c r="H8" s="9">
        <v>3</v>
      </c>
      <c r="I8" s="11">
        <v>43398</v>
      </c>
      <c r="J8" s="11">
        <v>43429</v>
      </c>
      <c r="K8">
        <v>15.9</v>
      </c>
      <c r="L8">
        <f t="shared" si="0"/>
        <v>2.5439999999999987</v>
      </c>
      <c r="M8">
        <f t="shared" si="1"/>
        <v>18.443999999999999</v>
      </c>
      <c r="N8" s="3" t="str">
        <f t="shared" si="2"/>
        <v xml:space="preserve">EXECUTE [dbo].[PG_CF_PRECIO] 0, 0,6, 'PRECIO GENERAL', 'PREGEN', 1,1,1,3,'2018-25-10','2018-25-11',15.9,2.544,18.444; </v>
      </c>
      <c r="R8" s="1"/>
      <c r="V8" s="3"/>
    </row>
    <row r="9" spans="2:22" x14ac:dyDescent="0.3">
      <c r="B9" s="4">
        <v>7</v>
      </c>
      <c r="C9" t="s">
        <v>13</v>
      </c>
      <c r="D9" t="s">
        <v>16</v>
      </c>
      <c r="E9">
        <v>1</v>
      </c>
      <c r="F9">
        <v>1</v>
      </c>
      <c r="G9" s="9">
        <v>3</v>
      </c>
      <c r="H9" s="9">
        <v>3</v>
      </c>
      <c r="I9" s="11">
        <v>43399</v>
      </c>
      <c r="J9" s="11">
        <v>43430</v>
      </c>
      <c r="K9">
        <v>17.899999999999999</v>
      </c>
      <c r="L9">
        <f t="shared" si="0"/>
        <v>2.8640000000000008</v>
      </c>
      <c r="M9">
        <f t="shared" si="1"/>
        <v>20.763999999999999</v>
      </c>
      <c r="N9" s="3" t="str">
        <f t="shared" si="2"/>
        <v xml:space="preserve">EXECUTE [dbo].[PG_CF_PRECIO] 0, 0,7, 'PRECIO LOCAL', 'PRELOC', 1,1,3,3,'2018-26-10','2018-26-11',17.9,2.864,20.764; </v>
      </c>
      <c r="R9" s="1"/>
      <c r="V9" s="3"/>
    </row>
    <row r="14" spans="2:22" x14ac:dyDescent="0.3">
      <c r="F14" s="10"/>
    </row>
    <row r="15" spans="2:22" x14ac:dyDescent="0.3">
      <c r="M15" s="10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EMPRESA</vt:lpstr>
      <vt:lpstr>PRECIO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FRANCISCO ESTEBAN</cp:lastModifiedBy>
  <dcterms:created xsi:type="dcterms:W3CDTF">2017-11-29T18:04:32Z</dcterms:created>
  <dcterms:modified xsi:type="dcterms:W3CDTF">2019-01-03T21:12:52Z</dcterms:modified>
</cp:coreProperties>
</file>