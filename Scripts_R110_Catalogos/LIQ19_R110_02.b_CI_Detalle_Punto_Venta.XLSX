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1.Tomza_JAR\TI_TecnologiaInformacion\Workbook\BASE_PRUEBA\LIQ_Back\Scripts_R110_Catalogos\"/>
    </mc:Choice>
  </mc:AlternateContent>
  <bookViews>
    <workbookView xWindow="0" yWindow="0" windowWidth="20438" windowHeight="7598"/>
  </bookViews>
  <sheets>
    <sheet name="PRODUCTO" sheetId="1" r:id="rId1"/>
    <sheet name="Hoja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3" i="1"/>
</calcChain>
</file>

<file path=xl/sharedStrings.xml><?xml version="1.0" encoding="utf-8"?>
<sst xmlns="http://schemas.openxmlformats.org/spreadsheetml/2006/main" count="994" uniqueCount="249">
  <si>
    <t>K_PUNTO_VENTA</t>
  </si>
  <si>
    <t>INSERT</t>
  </si>
  <si>
    <t>INTO</t>
  </si>
  <si>
    <t>[BD_Biogas_Liqsys_rutasventa]</t>
  </si>
  <si>
    <t>VALUES</t>
  </si>
  <si>
    <t>('1'</t>
  </si>
  <si>
    <t>BE201</t>
  </si>
  <si>
    <t>AUTOTANQUE</t>
  </si>
  <si>
    <t>PROPIA</t>
  </si>
  <si>
    <t>BIOGAS</t>
  </si>
  <si>
    <t>robot)</t>
  </si>
  <si>
    <t>('2'</t>
  </si>
  <si>
    <t>C133</t>
  </si>
  <si>
    <t>PORTATIL</t>
  </si>
  <si>
    <t>('3'</t>
  </si>
  <si>
    <t>MARKETING</t>
  </si>
  <si>
    <t>('4'</t>
  </si>
  <si>
    <t>BE03</t>
  </si>
  <si>
    <t>('5'</t>
  </si>
  <si>
    <t>BE04</t>
  </si>
  <si>
    <t>('6'</t>
  </si>
  <si>
    <t>BG03</t>
  </si>
  <si>
    <t>('7'</t>
  </si>
  <si>
    <t>BE01</t>
  </si>
  <si>
    <t>('8'</t>
  </si>
  <si>
    <t>BE02</t>
  </si>
  <si>
    <t>('9'</t>
  </si>
  <si>
    <t>BE05</t>
  </si>
  <si>
    <t>('10'</t>
  </si>
  <si>
    <t>BG02</t>
  </si>
  <si>
    <t>('11'</t>
  </si>
  <si>
    <t>BG05</t>
  </si>
  <si>
    <t>('12'</t>
  </si>
  <si>
    <t>BG06</t>
  </si>
  <si>
    <t>('13'</t>
  </si>
  <si>
    <t>BG08</t>
  </si>
  <si>
    <t>('14'</t>
  </si>
  <si>
    <t>BG09</t>
  </si>
  <si>
    <t>('15'</t>
  </si>
  <si>
    <t>BG10</t>
  </si>
  <si>
    <t>('16'</t>
  </si>
  <si>
    <t>BG11</t>
  </si>
  <si>
    <t>('17'</t>
  </si>
  <si>
    <t>BG18</t>
  </si>
  <si>
    <t>('18'</t>
  </si>
  <si>
    <t>BG12</t>
  </si>
  <si>
    <t>('19'</t>
  </si>
  <si>
    <t>BG19</t>
  </si>
  <si>
    <t>('20'</t>
  </si>
  <si>
    <t>BG20</t>
  </si>
  <si>
    <t>('21'</t>
  </si>
  <si>
    <t>BG21</t>
  </si>
  <si>
    <t>('22'</t>
  </si>
  <si>
    <t>BG22</t>
  </si>
  <si>
    <t>('23'</t>
  </si>
  <si>
    <t>BG27</t>
  </si>
  <si>
    <t>('24'</t>
  </si>
  <si>
    <t>BG28</t>
  </si>
  <si>
    <t>('25'</t>
  </si>
  <si>
    <t>BG30</t>
  </si>
  <si>
    <t>('26'</t>
  </si>
  <si>
    <t>BG31</t>
  </si>
  <si>
    <t>('27'</t>
  </si>
  <si>
    <t>C135</t>
  </si>
  <si>
    <t>('28'</t>
  </si>
  <si>
    <t>U55 EXP</t>
  </si>
  <si>
    <t>('29'</t>
  </si>
  <si>
    <t>C121</t>
  </si>
  <si>
    <t>('30'</t>
  </si>
  <si>
    <t>C132</t>
  </si>
  <si>
    <t>('31'</t>
  </si>
  <si>
    <t>C134</t>
  </si>
  <si>
    <t>('32'</t>
  </si>
  <si>
    <t>C122</t>
  </si>
  <si>
    <t>('33'</t>
  </si>
  <si>
    <t>C123</t>
  </si>
  <si>
    <t>('34'</t>
  </si>
  <si>
    <t>C124</t>
  </si>
  <si>
    <t>('35'</t>
  </si>
  <si>
    <t>C125</t>
  </si>
  <si>
    <t>('36'</t>
  </si>
  <si>
    <t>C126</t>
  </si>
  <si>
    <t>('37'</t>
  </si>
  <si>
    <t>C127</t>
  </si>
  <si>
    <t>('38'</t>
  </si>
  <si>
    <t>C128</t>
  </si>
  <si>
    <t>('39'</t>
  </si>
  <si>
    <t>C129</t>
  </si>
  <si>
    <t>('40'</t>
  </si>
  <si>
    <t>C130</t>
  </si>
  <si>
    <t>('41'</t>
  </si>
  <si>
    <t>C131</t>
  </si>
  <si>
    <t>('42'</t>
  </si>
  <si>
    <t>C136</t>
  </si>
  <si>
    <t>('43'</t>
  </si>
  <si>
    <t>C02</t>
  </si>
  <si>
    <t>('44'</t>
  </si>
  <si>
    <t>C43</t>
  </si>
  <si>
    <t>('45'</t>
  </si>
  <si>
    <t>C116</t>
  </si>
  <si>
    <t>('46'</t>
  </si>
  <si>
    <t>U02</t>
  </si>
  <si>
    <t>('47'</t>
  </si>
  <si>
    <t>U46</t>
  </si>
  <si>
    <t>('48'</t>
  </si>
  <si>
    <t>U53</t>
  </si>
  <si>
    <t>('49'</t>
  </si>
  <si>
    <t>U100</t>
  </si>
  <si>
    <t>('50'</t>
  </si>
  <si>
    <t>BG29</t>
  </si>
  <si>
    <t>LECTURA_INICIAL</t>
  </si>
  <si>
    <t>LECTURA_FINAL</t>
  </si>
  <si>
    <t>MATRICULA</t>
  </si>
  <si>
    <t>ABC123</t>
  </si>
  <si>
    <t>BCD345</t>
  </si>
  <si>
    <t>EDE657</t>
  </si>
  <si>
    <t>FEFE889</t>
  </si>
  <si>
    <t>MAT123</t>
  </si>
  <si>
    <t>MARCA</t>
  </si>
  <si>
    <t>CHEVROLET</t>
  </si>
  <si>
    <t>MODELO</t>
  </si>
  <si>
    <t>KILOMETRAJE</t>
  </si>
  <si>
    <t>SERIE</t>
  </si>
  <si>
    <t>MEDIDOR</t>
  </si>
  <si>
    <t>TIPO_MEDIDOR</t>
  </si>
  <si>
    <t>LITROMETRO</t>
  </si>
  <si>
    <t>GASPAR G4S</t>
  </si>
  <si>
    <t>K_DETALLE_PUNTO_VENTA</t>
  </si>
  <si>
    <t>DIRECCION</t>
  </si>
  <si>
    <t>CAPACIDAD</t>
  </si>
  <si>
    <t>PORCENTAJE</t>
  </si>
  <si>
    <t>N/D</t>
  </si>
  <si>
    <t>DV10365</t>
  </si>
  <si>
    <t>ZTV6503</t>
  </si>
  <si>
    <t>DW31616</t>
  </si>
  <si>
    <t>DX06774</t>
  </si>
  <si>
    <t>DV10363</t>
  </si>
  <si>
    <t>DV10362</t>
  </si>
  <si>
    <t>DY-2983</t>
  </si>
  <si>
    <t>DV10456</t>
  </si>
  <si>
    <t>DV10458</t>
  </si>
  <si>
    <t>DV10419</t>
  </si>
  <si>
    <t>DV10353</t>
  </si>
  <si>
    <t>DV10359</t>
  </si>
  <si>
    <t>GMC</t>
  </si>
  <si>
    <t>GENERAL MOTORSS</t>
  </si>
  <si>
    <t>2006</t>
  </si>
  <si>
    <t>164292</t>
  </si>
  <si>
    <t>141076</t>
  </si>
  <si>
    <t>0</t>
  </si>
  <si>
    <t>1997</t>
  </si>
  <si>
    <t>1578795</t>
  </si>
  <si>
    <t>1990</t>
  </si>
  <si>
    <t>61784</t>
  </si>
  <si>
    <t>1996</t>
  </si>
  <si>
    <t>170980</t>
  </si>
  <si>
    <t>G.M.KODIAK</t>
  </si>
  <si>
    <t>2005</t>
  </si>
  <si>
    <t>1995</t>
  </si>
  <si>
    <t>2099804</t>
  </si>
  <si>
    <t>1992</t>
  </si>
  <si>
    <t>1881350</t>
  </si>
  <si>
    <t>2002</t>
  </si>
  <si>
    <t>2443861</t>
  </si>
  <si>
    <t>1946859</t>
  </si>
  <si>
    <t>1978555</t>
  </si>
  <si>
    <t>1276028</t>
  </si>
  <si>
    <t>GMC C7500</t>
  </si>
  <si>
    <t>2001</t>
  </si>
  <si>
    <t>1733700</t>
  </si>
  <si>
    <t>NISSAN</t>
  </si>
  <si>
    <t>2010</t>
  </si>
  <si>
    <t>29056</t>
  </si>
  <si>
    <t>17711</t>
  </si>
  <si>
    <t>CHEVROLET HEAVY DUTY</t>
  </si>
  <si>
    <t>2007</t>
  </si>
  <si>
    <t>1.9</t>
  </si>
  <si>
    <t>22098</t>
  </si>
  <si>
    <t>1.3</t>
  </si>
  <si>
    <t>228.6</t>
  </si>
  <si>
    <t>31741</t>
  </si>
  <si>
    <t>8911979</t>
  </si>
  <si>
    <t>NISSAN VPM</t>
  </si>
  <si>
    <t>2008</t>
  </si>
  <si>
    <t>56309</t>
  </si>
  <si>
    <t>3GBKC34G55M118806</t>
  </si>
  <si>
    <t>3GBKC34G75M118922</t>
  </si>
  <si>
    <t>1GDJ7H1E4J901664</t>
  </si>
  <si>
    <t>3GBKC34GX5M101984</t>
  </si>
  <si>
    <t>3GBKC34G55M118837</t>
  </si>
  <si>
    <t>3GBKC34GX5M118915</t>
  </si>
  <si>
    <t>1GDG6H1P9RJ519414</t>
  </si>
  <si>
    <t>3GCM7HIMXVM501317</t>
  </si>
  <si>
    <t>1GBM7H1P2PJ101461</t>
  </si>
  <si>
    <t>1G1GDJ6H1BXXJ504086</t>
  </si>
  <si>
    <t>3GBJ6H1E45M105516</t>
  </si>
  <si>
    <t>1G017H1P45J520018</t>
  </si>
  <si>
    <t>1GDG6H1T7PJ504326</t>
  </si>
  <si>
    <t>3GBM7H1E62M104342</t>
  </si>
  <si>
    <t>3GBM7H1E52M104266</t>
  </si>
  <si>
    <t>1GBL7H1PXRJ1078</t>
  </si>
  <si>
    <t>1GDG6H1P6TJ504599</t>
  </si>
  <si>
    <t>1GDJ7H1E12J505377</t>
  </si>
  <si>
    <t>013FB0473C4F544B</t>
  </si>
  <si>
    <t>0136B07390508612</t>
  </si>
  <si>
    <t>3N6DD14577K040339</t>
  </si>
  <si>
    <t>013AB067801076420</t>
  </si>
  <si>
    <t>3N6DD14547K040525</t>
  </si>
  <si>
    <t>3N6DD14568K002327</t>
  </si>
  <si>
    <t>0144S02470505EAB</t>
  </si>
  <si>
    <t>3NGDD14528K021599</t>
  </si>
  <si>
    <t>5000</t>
  </si>
  <si>
    <t>12200</t>
  </si>
  <si>
    <t>12500</t>
  </si>
  <si>
    <t>10000</t>
  </si>
  <si>
    <t>8250</t>
  </si>
  <si>
    <t>8670</t>
  </si>
  <si>
    <t>10500</t>
  </si>
  <si>
    <t>6850</t>
  </si>
  <si>
    <t>4750</t>
  </si>
  <si>
    <t>3500</t>
  </si>
  <si>
    <t>1866</t>
  </si>
  <si>
    <t>69</t>
  </si>
  <si>
    <t>22</t>
  </si>
  <si>
    <t>1.5</t>
  </si>
  <si>
    <t>46</t>
  </si>
  <si>
    <t>26</t>
  </si>
  <si>
    <t>50</t>
  </si>
  <si>
    <t>20</t>
  </si>
  <si>
    <t>62.5</t>
  </si>
  <si>
    <t>40</t>
  </si>
  <si>
    <t>63.5</t>
  </si>
  <si>
    <t>79.5</t>
  </si>
  <si>
    <t>90.5</t>
  </si>
  <si>
    <t>15</t>
  </si>
  <si>
    <t>48.5</t>
  </si>
  <si>
    <t>66</t>
  </si>
  <si>
    <t>73.5</t>
  </si>
  <si>
    <t>54.5</t>
  </si>
  <si>
    <t>10</t>
  </si>
  <si>
    <t>80</t>
  </si>
  <si>
    <t>73</t>
  </si>
  <si>
    <t>1</t>
  </si>
  <si>
    <t>MAS ALTO</t>
  </si>
  <si>
    <t>NINGUNO</t>
  </si>
  <si>
    <t>GASPAR TRAD</t>
  </si>
  <si>
    <t>Av Las Torres</t>
  </si>
  <si>
    <t>Zaragoz</t>
  </si>
  <si>
    <t>Panamericana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</si>
</sst>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20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1" fillId="0" borderId="0" xfId="0" applyFont="1" applyFill="1"/>
    <xf numFmtId="0" fontId="0" fillId="0" borderId="0" xfId="0" applyFill="1"/>
    <xf numFmtId="0" fontId="0" fillId="0" borderId="0" xfId="0" quotePrefix="1" applyNumberFormat="1"/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22" fontId="0" fillId="0" borderId="0" xfId="0" applyNumberForma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quotePrefix="1" applyNumberFormat="1" applyAlignment="1">
      <alignment horizontal="left"/>
    </xf>
    <xf numFmtId="49" fontId="5" fillId="0" borderId="0" xfId="0" applyNumberFormat="1" applyFont="1"/>
    <xf numFmtId="0" fontId="4" fillId="0" borderId="0" xfId="1" applyFont="1" applyFill="1" applyAlignment="1">
      <alignment horizontal="left"/>
    </xf>
    <xf numFmtId="49" fontId="0" fillId="0" borderId="0" xfId="0" quotePrefix="1" applyNumberFormat="1" applyAlignment="1">
      <alignment horizontal="left"/>
    </xf>
  </cellXfs>
  <cellStyles count="2">
    <cellStyle name="Buena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53"/>
  <sheetViews>
    <sheetView showGridLines="0" tabSelected="1" zoomScale="110" zoomScaleNormal="110"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P3" sqref="P3:P53"/>
    </sheetView>
  </sheetViews>
  <sheetFormatPr baseColWidth="10" defaultRowHeight="14.25" x14ac:dyDescent="0.45"/>
  <cols>
    <col min="1" max="1" width="5.19921875" customWidth="1"/>
    <col min="2" max="2" width="13.1328125" style="3" bestFit="1" customWidth="1"/>
    <col min="3" max="3" width="15.06640625" bestFit="1" customWidth="1"/>
    <col min="4" max="4" width="14.9296875" bestFit="1" customWidth="1"/>
    <col min="5" max="5" width="13.73046875" bestFit="1" customWidth="1"/>
    <col min="6" max="6" width="13.73046875" customWidth="1"/>
    <col min="7" max="7" width="10.3984375" bestFit="1" customWidth="1"/>
    <col min="8" max="8" width="20.796875" style="14" bestFit="1" customWidth="1"/>
    <col min="9" max="9" width="8.06640625" style="15" bestFit="1" customWidth="1"/>
    <col min="10" max="10" width="12" style="15" bestFit="1" customWidth="1"/>
    <col min="11" max="11" width="19.86328125" style="1" bestFit="1" customWidth="1"/>
    <col min="12" max="12" width="10.265625" style="1" bestFit="1" customWidth="1"/>
    <col min="13" max="14" width="11.1328125" style="1" bestFit="1" customWidth="1"/>
    <col min="15" max="15" width="13.59765625" style="10" bestFit="1" customWidth="1"/>
    <col min="16" max="16" width="122.1328125" bestFit="1" customWidth="1"/>
    <col min="18" max="18" width="28.53125" bestFit="1" customWidth="1"/>
    <col min="19" max="19" width="21.53125" bestFit="1" customWidth="1"/>
    <col min="20" max="20" width="12" bestFit="1" customWidth="1"/>
    <col min="21" max="21" width="31.86328125" customWidth="1"/>
    <col min="22" max="22" width="13.86328125" bestFit="1" customWidth="1"/>
  </cols>
  <sheetData>
    <row r="2" spans="2:24" s="4" customFormat="1" x14ac:dyDescent="0.45">
      <c r="B2" s="3" t="s">
        <v>127</v>
      </c>
      <c r="C2" s="4" t="s">
        <v>0</v>
      </c>
      <c r="D2" s="4" t="s">
        <v>110</v>
      </c>
      <c r="E2" s="4" t="s">
        <v>111</v>
      </c>
      <c r="F2" s="4" t="s">
        <v>128</v>
      </c>
      <c r="G2" s="4" t="s">
        <v>112</v>
      </c>
      <c r="H2" s="12" t="s">
        <v>118</v>
      </c>
      <c r="I2" s="13" t="s">
        <v>120</v>
      </c>
      <c r="J2" s="13" t="s">
        <v>121</v>
      </c>
      <c r="K2" s="5" t="s">
        <v>122</v>
      </c>
      <c r="L2" s="5" t="s">
        <v>129</v>
      </c>
      <c r="M2" s="5" t="s">
        <v>130</v>
      </c>
      <c r="N2" s="5" t="s">
        <v>123</v>
      </c>
      <c r="O2" s="9" t="s">
        <v>124</v>
      </c>
      <c r="X2" s="2"/>
    </row>
    <row r="3" spans="2:24" x14ac:dyDescent="0.45">
      <c r="B3" s="3">
        <v>1</v>
      </c>
      <c r="C3">
        <v>1</v>
      </c>
      <c r="D3">
        <v>0</v>
      </c>
      <c r="E3">
        <v>914890</v>
      </c>
      <c r="F3" t="s">
        <v>246</v>
      </c>
      <c r="G3" t="s">
        <v>113</v>
      </c>
      <c r="H3" s="14" t="s">
        <v>131</v>
      </c>
      <c r="I3" s="14" t="s">
        <v>131</v>
      </c>
      <c r="J3" s="14">
        <v>0</v>
      </c>
      <c r="K3" s="8" t="s">
        <v>131</v>
      </c>
      <c r="L3" s="16">
        <v>0</v>
      </c>
      <c r="M3" s="16">
        <v>0</v>
      </c>
      <c r="N3" s="8" t="s">
        <v>125</v>
      </c>
      <c r="O3" s="18" t="s">
        <v>244</v>
      </c>
      <c r="P3" s="2" t="str">
        <f>CONCATENATE("EXECUTE [dbo].[PG_CI_DETALLE_PUNTO_VENTA] 0,0, ",B3,", ",C3,", ",D3,",",E3,",'",F3,"','",G3,"','",H3,"','",I3,"',",J3,",'",K3,"',",L3,",'",M3,"','",N3,"','",O3,"'; ")</f>
        <v xml:space="preserve">EXECUTE [dbo].[PG_CI_DETALLE_PUNTO_VENTA] 0,0, 1, 1, 0,914890,'Av Las Torres','ABC123','N/D','N/D',0,'N/D',0,'0','LITROMETRO','NINGUNO'; </v>
      </c>
      <c r="T3" s="1"/>
      <c r="X3" s="2"/>
    </row>
    <row r="4" spans="2:24" x14ac:dyDescent="0.45">
      <c r="B4" s="3">
        <v>2</v>
      </c>
      <c r="C4">
        <v>2</v>
      </c>
      <c r="D4">
        <v>0</v>
      </c>
      <c r="E4">
        <v>1363545</v>
      </c>
      <c r="F4" t="s">
        <v>247</v>
      </c>
      <c r="G4" t="s">
        <v>114</v>
      </c>
      <c r="H4" s="14" t="s">
        <v>119</v>
      </c>
      <c r="I4" s="14">
        <v>2006</v>
      </c>
      <c r="J4" s="14">
        <v>233859</v>
      </c>
      <c r="K4" s="8" t="s">
        <v>185</v>
      </c>
      <c r="L4" s="16">
        <v>5000</v>
      </c>
      <c r="M4" s="16">
        <v>68.5</v>
      </c>
      <c r="N4" s="8" t="s">
        <v>243</v>
      </c>
      <c r="O4" s="19" t="s">
        <v>126</v>
      </c>
      <c r="P4" s="2" t="str">
        <f t="shared" ref="P4:P53" si="0">CONCATENATE("EXECUTE [dbo].[PG_CI_DETALLE_PUNTO_VENTA] 0,0, ",B4,", ",C4,", ",D4,",",E4,",'",F4,"','",G4,"','",H4,"','",I4,"',",J4,",'",K4,"',",L4,",'",M4,"','",N4,"','",O4,"'; ")</f>
        <v xml:space="preserve">EXECUTE [dbo].[PG_CI_DETALLE_PUNTO_VENTA] 0,0, 2, 2, 0,1363545,'Zaragoz','BCD345','CHEVROLET','2006',233859,'3GBKC34G55M118806',5000,'68.5','MAS ALTO','GASPAR G4S'; </v>
      </c>
      <c r="U4" s="6"/>
    </row>
    <row r="5" spans="2:24" x14ac:dyDescent="0.45">
      <c r="B5" s="3">
        <v>3</v>
      </c>
      <c r="C5">
        <v>3</v>
      </c>
      <c r="D5">
        <v>0</v>
      </c>
      <c r="E5">
        <v>901407</v>
      </c>
      <c r="F5" t="s">
        <v>248</v>
      </c>
      <c r="G5" t="s">
        <v>115</v>
      </c>
      <c r="H5" s="14" t="s">
        <v>119</v>
      </c>
      <c r="I5" s="14">
        <v>2006</v>
      </c>
      <c r="J5" s="14">
        <v>861705</v>
      </c>
      <c r="K5" s="8" t="s">
        <v>186</v>
      </c>
      <c r="L5" s="16">
        <v>5000</v>
      </c>
      <c r="M5" s="16">
        <v>73</v>
      </c>
      <c r="N5" s="8" t="s">
        <v>243</v>
      </c>
      <c r="O5" s="15" t="s">
        <v>126</v>
      </c>
      <c r="P5" s="2" t="str">
        <f t="shared" si="0"/>
        <v xml:space="preserve">EXECUTE [dbo].[PG_CI_DETALLE_PUNTO_VENTA] 0,0, 3, 3, 0,901407,'Panamericana','EDE657','CHEVROLET','2006',861705,'3GBKC34G75M118922',5000,'73','MAS ALTO','GASPAR G4S'; </v>
      </c>
      <c r="U5" s="7"/>
    </row>
    <row r="6" spans="2:24" x14ac:dyDescent="0.45">
      <c r="B6" s="3">
        <v>4</v>
      </c>
      <c r="C6">
        <v>4</v>
      </c>
      <c r="D6">
        <v>0</v>
      </c>
      <c r="E6">
        <v>1981184</v>
      </c>
      <c r="F6" t="s">
        <v>246</v>
      </c>
      <c r="G6" t="s">
        <v>116</v>
      </c>
      <c r="H6" s="14" t="s">
        <v>144</v>
      </c>
      <c r="I6" s="14">
        <v>2002</v>
      </c>
      <c r="J6" s="14">
        <v>1522039</v>
      </c>
      <c r="K6" s="8" t="s">
        <v>187</v>
      </c>
      <c r="L6" s="16">
        <v>11315</v>
      </c>
      <c r="M6" s="16">
        <v>75.5</v>
      </c>
      <c r="N6" s="8" t="s">
        <v>243</v>
      </c>
      <c r="O6" s="15" t="s">
        <v>126</v>
      </c>
      <c r="P6" s="2" t="str">
        <f t="shared" si="0"/>
        <v xml:space="preserve">EXECUTE [dbo].[PG_CI_DETALLE_PUNTO_VENTA] 0,0, 4, 4, 0,1981184,'Av Las Torres','FEFE889','GMC','2002',1522039,'1GDJ7H1E4J901664',11315,'75.5','MAS ALTO','GASPAR G4S'; </v>
      </c>
      <c r="U6" s="7"/>
    </row>
    <row r="7" spans="2:24" x14ac:dyDescent="0.45">
      <c r="B7" s="3">
        <v>5</v>
      </c>
      <c r="C7">
        <v>5</v>
      </c>
      <c r="D7">
        <v>0</v>
      </c>
      <c r="E7">
        <v>2231097</v>
      </c>
      <c r="F7" t="s">
        <v>247</v>
      </c>
      <c r="G7" t="s">
        <v>117</v>
      </c>
      <c r="H7" s="14" t="s">
        <v>145</v>
      </c>
      <c r="I7" s="14">
        <v>2005</v>
      </c>
      <c r="J7" s="14">
        <v>0</v>
      </c>
      <c r="K7" s="8" t="s">
        <v>188</v>
      </c>
      <c r="L7" s="16">
        <v>5000</v>
      </c>
      <c r="M7" s="16">
        <v>70</v>
      </c>
      <c r="N7" s="8" t="s">
        <v>243</v>
      </c>
      <c r="O7" s="15" t="s">
        <v>126</v>
      </c>
      <c r="P7" s="2" t="str">
        <f t="shared" si="0"/>
        <v xml:space="preserve">EXECUTE [dbo].[PG_CI_DETALLE_PUNTO_VENTA] 0,0, 5, 5, 0,2231097,'Zaragoz','MAT123','GENERAL MOTORSS','2005',0,'3GBKC34GX5M101984',5000,'70','MAS ALTO','GASPAR G4S'; </v>
      </c>
    </row>
    <row r="8" spans="2:24" x14ac:dyDescent="0.45">
      <c r="B8" s="3">
        <v>6</v>
      </c>
      <c r="C8">
        <v>6</v>
      </c>
      <c r="D8">
        <v>0</v>
      </c>
      <c r="E8">
        <v>504764</v>
      </c>
      <c r="F8" t="s">
        <v>248</v>
      </c>
      <c r="G8" t="s">
        <v>131</v>
      </c>
      <c r="H8" s="14" t="s">
        <v>119</v>
      </c>
      <c r="I8" s="14" t="s">
        <v>146</v>
      </c>
      <c r="J8" s="14" t="s">
        <v>147</v>
      </c>
      <c r="K8" s="8" t="s">
        <v>189</v>
      </c>
      <c r="L8" s="16">
        <v>4300</v>
      </c>
      <c r="M8" s="16">
        <v>74</v>
      </c>
      <c r="N8" s="8" t="s">
        <v>243</v>
      </c>
      <c r="O8" s="15" t="s">
        <v>126</v>
      </c>
      <c r="P8" s="2" t="str">
        <f t="shared" si="0"/>
        <v xml:space="preserve">EXECUTE [dbo].[PG_CI_DETALLE_PUNTO_VENTA] 0,0, 6, 6, 0,504764,'Panamericana','N/D','CHEVROLET','2006',164292,'3GBKC34G55M118837',4300,'74','MAS ALTO','GASPAR G4S'; </v>
      </c>
    </row>
    <row r="9" spans="2:24" x14ac:dyDescent="0.45">
      <c r="B9" s="3">
        <v>7</v>
      </c>
      <c r="C9">
        <v>7</v>
      </c>
      <c r="D9">
        <v>0</v>
      </c>
      <c r="E9">
        <v>478009</v>
      </c>
      <c r="F9" t="s">
        <v>246</v>
      </c>
      <c r="G9" t="s">
        <v>132</v>
      </c>
      <c r="H9" s="14" t="s">
        <v>119</v>
      </c>
      <c r="I9" s="14" t="s">
        <v>146</v>
      </c>
      <c r="J9" s="14" t="s">
        <v>148</v>
      </c>
      <c r="K9" s="1" t="s">
        <v>190</v>
      </c>
      <c r="L9" s="15" t="s">
        <v>211</v>
      </c>
      <c r="M9" s="15" t="s">
        <v>222</v>
      </c>
      <c r="N9" s="1" t="s">
        <v>243</v>
      </c>
      <c r="O9" s="15" t="s">
        <v>126</v>
      </c>
      <c r="P9" s="2" t="str">
        <f t="shared" si="0"/>
        <v xml:space="preserve">EXECUTE [dbo].[PG_CI_DETALLE_PUNTO_VENTA] 0,0, 7, 7, 0,478009,'Av Las Torres','DV10365','CHEVROLET','2006',141076,'3GBKC34GX5M118915',5000,'69','MAS ALTO','GASPAR G4S'; </v>
      </c>
    </row>
    <row r="10" spans="2:24" x14ac:dyDescent="0.45">
      <c r="B10" s="3">
        <v>8</v>
      </c>
      <c r="C10">
        <v>8</v>
      </c>
      <c r="D10">
        <v>0</v>
      </c>
      <c r="E10">
        <v>1311155</v>
      </c>
      <c r="F10" t="s">
        <v>247</v>
      </c>
      <c r="G10" t="s">
        <v>131</v>
      </c>
      <c r="H10" s="14" t="s">
        <v>131</v>
      </c>
      <c r="I10" s="14" t="s">
        <v>131</v>
      </c>
      <c r="J10" s="14" t="s">
        <v>149</v>
      </c>
      <c r="K10" s="1" t="s">
        <v>131</v>
      </c>
      <c r="L10" s="15" t="s">
        <v>212</v>
      </c>
      <c r="M10" s="15" t="s">
        <v>223</v>
      </c>
      <c r="N10" s="1" t="s">
        <v>125</v>
      </c>
      <c r="O10" s="15" t="s">
        <v>126</v>
      </c>
      <c r="P10" s="2" t="str">
        <f t="shared" si="0"/>
        <v xml:space="preserve">EXECUTE [dbo].[PG_CI_DETALLE_PUNTO_VENTA] 0,0, 8, 8, 0,1311155,'Zaragoz','N/D','N/D','N/D',0,'N/D',12200,'22','LITROMETRO','GASPAR G4S'; </v>
      </c>
    </row>
    <row r="11" spans="2:24" x14ac:dyDescent="0.45">
      <c r="B11" s="3">
        <v>9</v>
      </c>
      <c r="C11">
        <v>9</v>
      </c>
      <c r="D11">
        <v>0</v>
      </c>
      <c r="E11">
        <v>1914290</v>
      </c>
      <c r="F11" t="s">
        <v>248</v>
      </c>
      <c r="G11" t="s">
        <v>133</v>
      </c>
      <c r="H11" s="14" t="s">
        <v>144</v>
      </c>
      <c r="I11" s="14" t="s">
        <v>150</v>
      </c>
      <c r="J11" s="14" t="s">
        <v>151</v>
      </c>
      <c r="K11" s="1" t="s">
        <v>191</v>
      </c>
      <c r="L11" s="15" t="s">
        <v>213</v>
      </c>
      <c r="M11" s="15" t="s">
        <v>224</v>
      </c>
      <c r="N11" s="1" t="s">
        <v>125</v>
      </c>
      <c r="O11" s="15" t="s">
        <v>126</v>
      </c>
      <c r="P11" s="2" t="str">
        <f t="shared" si="0"/>
        <v xml:space="preserve">EXECUTE [dbo].[PG_CI_DETALLE_PUNTO_VENTA] 0,0, 9, 9, 0,1914290,'Panamericana','ZTV6503','GMC','1997',1578795,'1GDG6H1P9RJ519414',12500,'1.5','LITROMETRO','GASPAR G4S'; </v>
      </c>
    </row>
    <row r="12" spans="2:24" x14ac:dyDescent="0.45">
      <c r="B12" s="3">
        <v>10</v>
      </c>
      <c r="C12">
        <v>10</v>
      </c>
      <c r="D12">
        <v>0</v>
      </c>
      <c r="E12">
        <v>955488</v>
      </c>
      <c r="F12" t="s">
        <v>246</v>
      </c>
      <c r="G12" t="s">
        <v>134</v>
      </c>
      <c r="H12" s="14" t="s">
        <v>131</v>
      </c>
      <c r="I12" s="14" t="s">
        <v>131</v>
      </c>
      <c r="J12" s="14" t="s">
        <v>149</v>
      </c>
      <c r="K12" s="1" t="s">
        <v>131</v>
      </c>
      <c r="L12" s="15" t="s">
        <v>213</v>
      </c>
      <c r="M12" s="15" t="s">
        <v>225</v>
      </c>
      <c r="N12" s="1" t="s">
        <v>125</v>
      </c>
      <c r="O12" s="15" t="s">
        <v>245</v>
      </c>
      <c r="P12" s="2" t="str">
        <f t="shared" si="0"/>
        <v xml:space="preserve">EXECUTE [dbo].[PG_CI_DETALLE_PUNTO_VENTA] 0,0, 10, 10, 0,955488,'Av Las Torres','DW31616','N/D','N/D',0,'N/D',12500,'46','LITROMETRO','GASPAR TRAD'; </v>
      </c>
    </row>
    <row r="13" spans="2:24" x14ac:dyDescent="0.45">
      <c r="B13" s="3">
        <v>11</v>
      </c>
      <c r="C13">
        <v>11</v>
      </c>
      <c r="D13">
        <v>0</v>
      </c>
      <c r="E13">
        <v>252087</v>
      </c>
      <c r="F13" t="s">
        <v>247</v>
      </c>
      <c r="G13" t="s">
        <v>135</v>
      </c>
      <c r="H13" s="14" t="s">
        <v>144</v>
      </c>
      <c r="I13" s="14" t="s">
        <v>131</v>
      </c>
      <c r="J13" s="14" t="s">
        <v>149</v>
      </c>
      <c r="K13" s="1" t="s">
        <v>192</v>
      </c>
      <c r="L13" s="15" t="s">
        <v>213</v>
      </c>
      <c r="M13" s="15" t="s">
        <v>226</v>
      </c>
      <c r="N13" s="1" t="s">
        <v>125</v>
      </c>
      <c r="O13" s="15" t="s">
        <v>126</v>
      </c>
      <c r="P13" s="2" t="str">
        <f t="shared" si="0"/>
        <v xml:space="preserve">EXECUTE [dbo].[PG_CI_DETALLE_PUNTO_VENTA] 0,0, 11, 11, 0,252087,'Zaragoz','DX06774','GMC','N/D',0,'3GCM7HIMXVM501317',12500,'26','LITROMETRO','GASPAR G4S'; </v>
      </c>
    </row>
    <row r="14" spans="2:24" x14ac:dyDescent="0.45">
      <c r="B14" s="3">
        <v>12</v>
      </c>
      <c r="C14">
        <v>12</v>
      </c>
      <c r="D14">
        <v>0</v>
      </c>
      <c r="E14">
        <v>1901550</v>
      </c>
      <c r="F14" t="s">
        <v>248</v>
      </c>
      <c r="G14" t="s">
        <v>136</v>
      </c>
      <c r="H14" s="14" t="s">
        <v>144</v>
      </c>
      <c r="I14" s="14" t="s">
        <v>152</v>
      </c>
      <c r="J14" s="14" t="s">
        <v>153</v>
      </c>
      <c r="K14" s="1" t="s">
        <v>193</v>
      </c>
      <c r="L14" s="15" t="s">
        <v>213</v>
      </c>
      <c r="M14" s="15" t="s">
        <v>227</v>
      </c>
      <c r="N14" s="1" t="s">
        <v>243</v>
      </c>
      <c r="O14" s="15" t="s">
        <v>245</v>
      </c>
      <c r="P14" s="2" t="str">
        <f t="shared" si="0"/>
        <v xml:space="preserve">EXECUTE [dbo].[PG_CI_DETALLE_PUNTO_VENTA] 0,0, 12, 12, 0,1901550,'Panamericana','DV10363','GMC','1990',61784,'1GBM7H1P2PJ101461',12500,'50','MAS ALTO','GASPAR TRAD'; </v>
      </c>
    </row>
    <row r="15" spans="2:24" x14ac:dyDescent="0.45">
      <c r="B15" s="3">
        <v>13</v>
      </c>
      <c r="C15">
        <v>13</v>
      </c>
      <c r="D15">
        <v>0</v>
      </c>
      <c r="E15">
        <v>2136581</v>
      </c>
      <c r="F15" t="s">
        <v>246</v>
      </c>
      <c r="G15" t="s">
        <v>131</v>
      </c>
      <c r="H15" s="14" t="s">
        <v>144</v>
      </c>
      <c r="I15" s="14" t="s">
        <v>154</v>
      </c>
      <c r="J15" s="14" t="s">
        <v>155</v>
      </c>
      <c r="K15" s="1" t="s">
        <v>194</v>
      </c>
      <c r="L15" s="15" t="s">
        <v>214</v>
      </c>
      <c r="M15" s="15" t="s">
        <v>228</v>
      </c>
      <c r="N15" s="1" t="s">
        <v>243</v>
      </c>
      <c r="O15" s="15" t="s">
        <v>126</v>
      </c>
      <c r="P15" s="2" t="str">
        <f t="shared" si="0"/>
        <v xml:space="preserve">EXECUTE [dbo].[PG_CI_DETALLE_PUNTO_VENTA] 0,0, 13, 13, 0,2136581,'Av Las Torres','N/D','GMC','1996',170980,'1G1GDJ6H1BXXJ504086',10000,'20','MAS ALTO','GASPAR G4S'; </v>
      </c>
    </row>
    <row r="16" spans="2:24" x14ac:dyDescent="0.45">
      <c r="B16" s="3">
        <v>14</v>
      </c>
      <c r="C16">
        <v>14</v>
      </c>
      <c r="D16">
        <v>0</v>
      </c>
      <c r="E16">
        <v>5562873</v>
      </c>
      <c r="F16" t="s">
        <v>247</v>
      </c>
      <c r="G16" t="s">
        <v>131</v>
      </c>
      <c r="H16" s="14" t="s">
        <v>156</v>
      </c>
      <c r="I16" s="14" t="s">
        <v>157</v>
      </c>
      <c r="J16" s="14" t="s">
        <v>149</v>
      </c>
      <c r="K16" s="1" t="s">
        <v>195</v>
      </c>
      <c r="L16" s="15" t="s">
        <v>215</v>
      </c>
      <c r="M16" s="15" t="s">
        <v>229</v>
      </c>
      <c r="N16" s="1" t="s">
        <v>125</v>
      </c>
      <c r="O16" s="15" t="s">
        <v>126</v>
      </c>
      <c r="P16" s="2" t="str">
        <f t="shared" si="0"/>
        <v xml:space="preserve">EXECUTE [dbo].[PG_CI_DETALLE_PUNTO_VENTA] 0,0, 14, 14, 0,5562873,'Zaragoz','N/D','G.M.KODIAK','2005',0,'3GBJ6H1E45M105516',8250,'62.5','LITROMETRO','GASPAR G4S'; </v>
      </c>
    </row>
    <row r="17" spans="2:16" x14ac:dyDescent="0.45">
      <c r="B17" s="3">
        <v>15</v>
      </c>
      <c r="C17">
        <v>15</v>
      </c>
      <c r="D17">
        <v>0</v>
      </c>
      <c r="E17">
        <v>830297</v>
      </c>
      <c r="F17" t="s">
        <v>248</v>
      </c>
      <c r="G17" t="s">
        <v>131</v>
      </c>
      <c r="H17" s="14" t="s">
        <v>144</v>
      </c>
      <c r="I17" s="14" t="s">
        <v>158</v>
      </c>
      <c r="J17" s="14" t="s">
        <v>159</v>
      </c>
      <c r="K17" s="1" t="s">
        <v>196</v>
      </c>
      <c r="L17" s="15" t="s">
        <v>213</v>
      </c>
      <c r="M17" s="15" t="s">
        <v>230</v>
      </c>
      <c r="N17" s="1" t="s">
        <v>243</v>
      </c>
      <c r="O17" s="15" t="s">
        <v>245</v>
      </c>
      <c r="P17" s="2" t="str">
        <f t="shared" si="0"/>
        <v xml:space="preserve">EXECUTE [dbo].[PG_CI_DETALLE_PUNTO_VENTA] 0,0, 15, 15, 0,830297,'Panamericana','N/D','GMC','1995',2099804,'1G017H1P45J520018',12500,'40','MAS ALTO','GASPAR TRAD'; </v>
      </c>
    </row>
    <row r="18" spans="2:16" x14ac:dyDescent="0.45">
      <c r="B18" s="3">
        <v>16</v>
      </c>
      <c r="C18">
        <v>16</v>
      </c>
      <c r="D18">
        <v>0</v>
      </c>
      <c r="E18">
        <v>1696797</v>
      </c>
      <c r="F18" t="s">
        <v>246</v>
      </c>
      <c r="G18" t="s">
        <v>137</v>
      </c>
      <c r="H18" s="14" t="s">
        <v>144</v>
      </c>
      <c r="I18" s="14" t="s">
        <v>160</v>
      </c>
      <c r="J18" s="14" t="s">
        <v>161</v>
      </c>
      <c r="K18" s="1" t="s">
        <v>197</v>
      </c>
      <c r="L18" s="15" t="s">
        <v>216</v>
      </c>
      <c r="M18" s="15" t="s">
        <v>231</v>
      </c>
      <c r="N18" s="1" t="s">
        <v>243</v>
      </c>
      <c r="O18" s="15" t="s">
        <v>126</v>
      </c>
      <c r="P18" s="2" t="str">
        <f t="shared" si="0"/>
        <v xml:space="preserve">EXECUTE [dbo].[PG_CI_DETALLE_PUNTO_VENTA] 0,0, 16, 16, 0,1696797,'Av Las Torres','DV10362','GMC','1992',1881350,'1GDG6H1T7PJ504326',8670,'63.5','MAS ALTO','GASPAR G4S'; </v>
      </c>
    </row>
    <row r="19" spans="2:16" x14ac:dyDescent="0.45">
      <c r="B19" s="3">
        <v>17</v>
      </c>
      <c r="C19">
        <v>17</v>
      </c>
      <c r="D19">
        <v>0</v>
      </c>
      <c r="E19">
        <v>1419365</v>
      </c>
      <c r="F19" t="s">
        <v>247</v>
      </c>
      <c r="G19" t="s">
        <v>131</v>
      </c>
      <c r="H19" s="14" t="s">
        <v>119</v>
      </c>
      <c r="I19" s="14" t="s">
        <v>162</v>
      </c>
      <c r="J19" s="14" t="s">
        <v>163</v>
      </c>
      <c r="K19" s="1" t="s">
        <v>198</v>
      </c>
      <c r="L19" s="15" t="s">
        <v>213</v>
      </c>
      <c r="M19" s="15" t="s">
        <v>232</v>
      </c>
      <c r="N19" s="1" t="s">
        <v>243</v>
      </c>
      <c r="O19" s="15" t="s">
        <v>126</v>
      </c>
      <c r="P19" s="2" t="str">
        <f t="shared" si="0"/>
        <v xml:space="preserve">EXECUTE [dbo].[PG_CI_DETALLE_PUNTO_VENTA] 0,0, 17, 17, 0,1419365,'Zaragoz','N/D','CHEVROLET','2002',2443861,'3GBM7H1E62M104342',12500,'79.5','MAS ALTO','GASPAR G4S'; </v>
      </c>
    </row>
    <row r="20" spans="2:16" x14ac:dyDescent="0.45">
      <c r="B20" s="3">
        <v>18</v>
      </c>
      <c r="C20">
        <v>18</v>
      </c>
      <c r="D20">
        <v>0</v>
      </c>
      <c r="E20">
        <v>3998929</v>
      </c>
      <c r="F20" t="s">
        <v>248</v>
      </c>
      <c r="G20" t="s">
        <v>131</v>
      </c>
      <c r="H20" s="14" t="s">
        <v>119</v>
      </c>
      <c r="I20" s="14" t="s">
        <v>162</v>
      </c>
      <c r="J20" s="14" t="s">
        <v>164</v>
      </c>
      <c r="K20" s="1" t="s">
        <v>199</v>
      </c>
      <c r="L20" s="15" t="s">
        <v>213</v>
      </c>
      <c r="M20" s="15" t="s">
        <v>233</v>
      </c>
      <c r="N20" s="1" t="s">
        <v>243</v>
      </c>
      <c r="O20" s="15" t="s">
        <v>126</v>
      </c>
      <c r="P20" s="2" t="str">
        <f t="shared" si="0"/>
        <v xml:space="preserve">EXECUTE [dbo].[PG_CI_DETALLE_PUNTO_VENTA] 0,0, 18, 18, 0,3998929,'Panamericana','N/D','CHEVROLET','2002',1946859,'3GBM7H1E52M104266',12500,'90.5','MAS ALTO','GASPAR G4S'; </v>
      </c>
    </row>
    <row r="21" spans="2:16" x14ac:dyDescent="0.45">
      <c r="B21" s="3">
        <v>19</v>
      </c>
      <c r="C21">
        <v>19</v>
      </c>
      <c r="D21">
        <v>0</v>
      </c>
      <c r="E21">
        <v>2712677</v>
      </c>
      <c r="F21" t="s">
        <v>246</v>
      </c>
      <c r="G21" t="s">
        <v>138</v>
      </c>
      <c r="H21" s="14" t="s">
        <v>131</v>
      </c>
      <c r="I21" s="14" t="s">
        <v>131</v>
      </c>
      <c r="J21" s="14" t="s">
        <v>149</v>
      </c>
      <c r="K21" s="1" t="s">
        <v>131</v>
      </c>
      <c r="L21" s="15" t="s">
        <v>213</v>
      </c>
      <c r="M21" s="15" t="s">
        <v>234</v>
      </c>
      <c r="N21" s="1" t="s">
        <v>125</v>
      </c>
      <c r="O21" s="15" t="s">
        <v>126</v>
      </c>
      <c r="P21" s="2" t="str">
        <f t="shared" si="0"/>
        <v xml:space="preserve">EXECUTE [dbo].[PG_CI_DETALLE_PUNTO_VENTA] 0,0, 19, 19, 0,2712677,'Av Las Torres','DY-2983','N/D','N/D',0,'N/D',12500,'15','LITROMETRO','GASPAR G4S'; </v>
      </c>
    </row>
    <row r="22" spans="2:16" x14ac:dyDescent="0.45">
      <c r="B22" s="3">
        <v>20</v>
      </c>
      <c r="C22">
        <v>20</v>
      </c>
      <c r="D22">
        <v>0</v>
      </c>
      <c r="E22">
        <v>1410981</v>
      </c>
      <c r="F22" t="s">
        <v>247</v>
      </c>
      <c r="G22" t="s">
        <v>131</v>
      </c>
      <c r="H22" s="14" t="s">
        <v>144</v>
      </c>
      <c r="I22" s="14" t="s">
        <v>131</v>
      </c>
      <c r="J22" s="14" t="s">
        <v>149</v>
      </c>
      <c r="K22" s="1" t="s">
        <v>131</v>
      </c>
      <c r="L22" s="15" t="s">
        <v>213</v>
      </c>
      <c r="M22" s="15" t="s">
        <v>235</v>
      </c>
      <c r="N22" s="17" t="s">
        <v>125</v>
      </c>
      <c r="O22" s="15" t="s">
        <v>245</v>
      </c>
      <c r="P22" s="2" t="str">
        <f t="shared" si="0"/>
        <v xml:space="preserve">EXECUTE [dbo].[PG_CI_DETALLE_PUNTO_VENTA] 0,0, 20, 20, 0,1410981,'Zaragoz','N/D','GMC','N/D',0,'N/D',12500,'48.5','LITROMETRO','GASPAR TRAD'; </v>
      </c>
    </row>
    <row r="23" spans="2:16" x14ac:dyDescent="0.45">
      <c r="B23" s="3">
        <v>21</v>
      </c>
      <c r="C23">
        <v>21</v>
      </c>
      <c r="D23">
        <v>0</v>
      </c>
      <c r="E23">
        <v>28466678</v>
      </c>
      <c r="F23" t="s">
        <v>248</v>
      </c>
      <c r="G23" t="s">
        <v>131</v>
      </c>
      <c r="H23" s="14" t="s">
        <v>144</v>
      </c>
      <c r="I23" s="14" t="s">
        <v>150</v>
      </c>
      <c r="J23" s="14" t="s">
        <v>165</v>
      </c>
      <c r="K23" s="1" t="s">
        <v>200</v>
      </c>
      <c r="L23" s="15" t="s">
        <v>213</v>
      </c>
      <c r="M23" s="15" t="s">
        <v>149</v>
      </c>
      <c r="N23" s="1" t="s">
        <v>125</v>
      </c>
      <c r="O23" s="15" t="s">
        <v>126</v>
      </c>
      <c r="P23" s="2" t="str">
        <f t="shared" si="0"/>
        <v xml:space="preserve">EXECUTE [dbo].[PG_CI_DETALLE_PUNTO_VENTA] 0,0, 21, 21, 0,28466678,'Panamericana','N/D','GMC','1997',1978555,'1GBL7H1PXRJ1078',12500,'0','LITROMETRO','GASPAR G4S'; </v>
      </c>
    </row>
    <row r="24" spans="2:16" x14ac:dyDescent="0.45">
      <c r="B24" s="3">
        <v>22</v>
      </c>
      <c r="C24">
        <v>22</v>
      </c>
      <c r="D24">
        <v>0</v>
      </c>
      <c r="E24">
        <v>3486404</v>
      </c>
      <c r="F24" t="s">
        <v>246</v>
      </c>
      <c r="G24" t="s">
        <v>139</v>
      </c>
      <c r="H24" s="14" t="s">
        <v>144</v>
      </c>
      <c r="I24" s="14" t="s">
        <v>158</v>
      </c>
      <c r="J24" s="14" t="s">
        <v>166</v>
      </c>
      <c r="K24" s="1" t="s">
        <v>201</v>
      </c>
      <c r="L24" s="15" t="s">
        <v>213</v>
      </c>
      <c r="M24" s="15" t="s">
        <v>236</v>
      </c>
      <c r="N24" s="1" t="s">
        <v>125</v>
      </c>
      <c r="O24" s="15" t="s">
        <v>126</v>
      </c>
      <c r="P24" s="2" t="str">
        <f t="shared" si="0"/>
        <v xml:space="preserve">EXECUTE [dbo].[PG_CI_DETALLE_PUNTO_VENTA] 0,0, 22, 22, 0,3486404,'Av Las Torres','DV10456','GMC','1995',1276028,'1GDG6H1P6TJ504599',12500,'66','LITROMETRO','GASPAR G4S'; </v>
      </c>
    </row>
    <row r="25" spans="2:16" x14ac:dyDescent="0.45">
      <c r="B25" s="3">
        <v>23</v>
      </c>
      <c r="C25">
        <v>23</v>
      </c>
      <c r="D25">
        <v>0</v>
      </c>
      <c r="E25">
        <v>136286</v>
      </c>
      <c r="F25" t="s">
        <v>247</v>
      </c>
      <c r="G25" t="s">
        <v>140</v>
      </c>
      <c r="H25" s="14" t="s">
        <v>167</v>
      </c>
      <c r="I25" s="14" t="s">
        <v>168</v>
      </c>
      <c r="J25" s="14" t="s">
        <v>169</v>
      </c>
      <c r="K25" s="1" t="s">
        <v>202</v>
      </c>
      <c r="L25" s="15" t="s">
        <v>217</v>
      </c>
      <c r="M25" s="15" t="s">
        <v>237</v>
      </c>
      <c r="N25" s="1" t="s">
        <v>243</v>
      </c>
      <c r="O25" s="15" t="s">
        <v>126</v>
      </c>
      <c r="P25" s="2" t="str">
        <f t="shared" si="0"/>
        <v xml:space="preserve">EXECUTE [dbo].[PG_CI_DETALLE_PUNTO_VENTA] 0,0, 23, 23, 0,136286,'Zaragoz','DV10458','GMC C7500','2001',1733700,'1GDJ7H1E12J505377',10500,'73.5','MAS ALTO','GASPAR G4S'; </v>
      </c>
    </row>
    <row r="26" spans="2:16" x14ac:dyDescent="0.45">
      <c r="B26" s="3">
        <v>24</v>
      </c>
      <c r="C26">
        <v>24</v>
      </c>
      <c r="D26">
        <v>0</v>
      </c>
      <c r="E26">
        <v>2083770</v>
      </c>
      <c r="F26" t="s">
        <v>248</v>
      </c>
      <c r="G26" t="s">
        <v>131</v>
      </c>
      <c r="H26" s="14" t="s">
        <v>144</v>
      </c>
      <c r="I26" s="14" t="s">
        <v>131</v>
      </c>
      <c r="J26" s="14" t="s">
        <v>149</v>
      </c>
      <c r="K26" s="1" t="s">
        <v>131</v>
      </c>
      <c r="L26" s="15" t="s">
        <v>218</v>
      </c>
      <c r="M26" s="15" t="s">
        <v>238</v>
      </c>
      <c r="N26" s="1" t="s">
        <v>243</v>
      </c>
      <c r="O26" s="15" t="s">
        <v>126</v>
      </c>
      <c r="P26" s="2" t="str">
        <f t="shared" si="0"/>
        <v xml:space="preserve">EXECUTE [dbo].[PG_CI_DETALLE_PUNTO_VENTA] 0,0, 24, 24, 0,2083770,'Panamericana','N/D','GMC','N/D',0,'N/D',6850,'54.5','MAS ALTO','GASPAR G4S'; </v>
      </c>
    </row>
    <row r="27" spans="2:16" x14ac:dyDescent="0.45">
      <c r="B27" s="3">
        <v>25</v>
      </c>
      <c r="C27">
        <v>25</v>
      </c>
      <c r="D27">
        <v>0</v>
      </c>
      <c r="E27">
        <v>378890</v>
      </c>
      <c r="F27" t="s">
        <v>246</v>
      </c>
      <c r="G27" t="s">
        <v>131</v>
      </c>
      <c r="H27" s="14" t="s">
        <v>170</v>
      </c>
      <c r="I27" s="14" t="s">
        <v>171</v>
      </c>
      <c r="J27" s="14" t="s">
        <v>172</v>
      </c>
      <c r="K27" s="1" t="s">
        <v>203</v>
      </c>
      <c r="L27" s="15" t="s">
        <v>149</v>
      </c>
      <c r="M27" s="15" t="s">
        <v>149</v>
      </c>
      <c r="N27" s="1" t="s">
        <v>244</v>
      </c>
      <c r="O27" s="15" t="s">
        <v>244</v>
      </c>
      <c r="P27" s="2" t="str">
        <f t="shared" si="0"/>
        <v xml:space="preserve">EXECUTE [dbo].[PG_CI_DETALLE_PUNTO_VENTA] 0,0, 25, 25, 0,378890,'Av Las Torres','N/D','NISSAN','2010',29056,'013FB0473C4F544B',0,'0','NINGUNO','NINGUNO'; </v>
      </c>
    </row>
    <row r="28" spans="2:16" x14ac:dyDescent="0.45">
      <c r="B28" s="3">
        <v>26</v>
      </c>
      <c r="C28">
        <v>26</v>
      </c>
      <c r="D28">
        <v>0</v>
      </c>
      <c r="E28">
        <v>1093487</v>
      </c>
      <c r="F28" t="s">
        <v>247</v>
      </c>
      <c r="G28" t="s">
        <v>131</v>
      </c>
      <c r="H28" s="14" t="s">
        <v>170</v>
      </c>
      <c r="I28" s="14" t="s">
        <v>171</v>
      </c>
      <c r="J28" s="14" t="s">
        <v>173</v>
      </c>
      <c r="K28" s="1" t="s">
        <v>204</v>
      </c>
      <c r="L28" s="15" t="s">
        <v>149</v>
      </c>
      <c r="M28" s="15" t="s">
        <v>149</v>
      </c>
      <c r="N28" s="1" t="s">
        <v>244</v>
      </c>
      <c r="O28" s="15" t="s">
        <v>244</v>
      </c>
      <c r="P28" s="2" t="str">
        <f t="shared" si="0"/>
        <v xml:space="preserve">EXECUTE [dbo].[PG_CI_DETALLE_PUNTO_VENTA] 0,0, 26, 26, 0,1093487,'Zaragoz','N/D','NISSAN','2010',17711,'0136B07390508612',0,'0','NINGUNO','NINGUNO'; </v>
      </c>
    </row>
    <row r="29" spans="2:16" x14ac:dyDescent="0.45">
      <c r="B29" s="3">
        <v>27</v>
      </c>
      <c r="C29">
        <v>27</v>
      </c>
      <c r="D29">
        <v>0</v>
      </c>
      <c r="E29">
        <v>3332044</v>
      </c>
      <c r="F29" t="s">
        <v>248</v>
      </c>
      <c r="G29" t="s">
        <v>141</v>
      </c>
      <c r="H29" s="14" t="s">
        <v>174</v>
      </c>
      <c r="I29" s="14" t="s">
        <v>131</v>
      </c>
      <c r="J29" s="14" t="s">
        <v>149</v>
      </c>
      <c r="K29" s="1" t="s">
        <v>131</v>
      </c>
      <c r="L29" s="15" t="s">
        <v>149</v>
      </c>
      <c r="M29" s="15" t="s">
        <v>149</v>
      </c>
      <c r="N29" s="1" t="s">
        <v>244</v>
      </c>
      <c r="O29" s="15" t="s">
        <v>244</v>
      </c>
      <c r="P29" s="2" t="str">
        <f t="shared" si="0"/>
        <v xml:space="preserve">EXECUTE [dbo].[PG_CI_DETALLE_PUNTO_VENTA] 0,0, 27, 27, 0,3332044,'Panamericana','DV10419','CHEVROLET HEAVY DUTY','N/D',0,'N/D',0,'0','NINGUNO','NINGUNO'; </v>
      </c>
    </row>
    <row r="30" spans="2:16" x14ac:dyDescent="0.45">
      <c r="B30" s="3">
        <v>28</v>
      </c>
      <c r="C30">
        <v>28</v>
      </c>
      <c r="D30">
        <v>0</v>
      </c>
      <c r="E30">
        <v>468176</v>
      </c>
      <c r="F30" t="s">
        <v>246</v>
      </c>
      <c r="G30" t="s">
        <v>131</v>
      </c>
      <c r="H30" s="14" t="s">
        <v>170</v>
      </c>
      <c r="I30" s="14" t="s">
        <v>175</v>
      </c>
      <c r="J30" s="14" t="s">
        <v>176</v>
      </c>
      <c r="K30" s="1" t="s">
        <v>205</v>
      </c>
      <c r="L30" s="15" t="s">
        <v>149</v>
      </c>
      <c r="M30" s="15" t="s">
        <v>149</v>
      </c>
      <c r="N30" s="1" t="s">
        <v>244</v>
      </c>
      <c r="O30" s="15" t="s">
        <v>244</v>
      </c>
      <c r="P30" s="2" t="str">
        <f t="shared" si="0"/>
        <v xml:space="preserve">EXECUTE [dbo].[PG_CI_DETALLE_PUNTO_VENTA] 0,0, 28, 28, 0,468176,'Av Las Torres','N/D','NISSAN','2007',1.9,'3N6DD14577K040339',0,'0','NINGUNO','NINGUNO'; </v>
      </c>
    </row>
    <row r="31" spans="2:16" x14ac:dyDescent="0.45">
      <c r="B31" s="3">
        <v>29</v>
      </c>
      <c r="C31">
        <v>29</v>
      </c>
      <c r="D31">
        <v>0</v>
      </c>
      <c r="E31">
        <v>1553369</v>
      </c>
      <c r="F31" t="s">
        <v>247</v>
      </c>
      <c r="G31" t="s">
        <v>131</v>
      </c>
      <c r="H31" s="14" t="s">
        <v>170</v>
      </c>
      <c r="I31" s="14" t="s">
        <v>171</v>
      </c>
      <c r="J31" s="14" t="s">
        <v>149</v>
      </c>
      <c r="K31" s="1" t="s">
        <v>204</v>
      </c>
      <c r="L31" s="15" t="s">
        <v>149</v>
      </c>
      <c r="M31" s="15" t="s">
        <v>149</v>
      </c>
      <c r="N31" s="1" t="s">
        <v>244</v>
      </c>
      <c r="O31" s="15" t="s">
        <v>244</v>
      </c>
      <c r="P31" s="2" t="str">
        <f t="shared" si="0"/>
        <v xml:space="preserve">EXECUTE [dbo].[PG_CI_DETALLE_PUNTO_VENTA] 0,0, 29, 29, 0,1553369,'Zaragoz','N/D','NISSAN','2010',0,'0136B07390508612',0,'0','NINGUNO','NINGUNO'; </v>
      </c>
    </row>
    <row r="32" spans="2:16" x14ac:dyDescent="0.45">
      <c r="B32" s="3">
        <v>30</v>
      </c>
      <c r="C32">
        <v>30</v>
      </c>
      <c r="D32">
        <v>0</v>
      </c>
      <c r="E32">
        <v>4202089</v>
      </c>
      <c r="F32" t="s">
        <v>248</v>
      </c>
      <c r="G32" t="s">
        <v>131</v>
      </c>
      <c r="H32" s="14" t="s">
        <v>170</v>
      </c>
      <c r="I32" s="14" t="s">
        <v>171</v>
      </c>
      <c r="J32" s="14" t="s">
        <v>177</v>
      </c>
      <c r="K32" s="1" t="s">
        <v>206</v>
      </c>
      <c r="L32" s="15" t="s">
        <v>149</v>
      </c>
      <c r="M32" s="15" t="s">
        <v>149</v>
      </c>
      <c r="N32" s="1" t="s">
        <v>244</v>
      </c>
      <c r="O32" s="15" t="s">
        <v>244</v>
      </c>
      <c r="P32" s="2" t="str">
        <f t="shared" si="0"/>
        <v xml:space="preserve">EXECUTE [dbo].[PG_CI_DETALLE_PUNTO_VENTA] 0,0, 30, 30, 0,4202089,'Panamericana','N/D','NISSAN','2010',22098,'013AB067801076420',0,'0','NINGUNO','NINGUNO'; </v>
      </c>
    </row>
    <row r="33" spans="2:16" x14ac:dyDescent="0.45">
      <c r="B33" s="3">
        <v>31</v>
      </c>
      <c r="C33">
        <v>31</v>
      </c>
      <c r="D33">
        <v>0</v>
      </c>
      <c r="E33">
        <v>1899661</v>
      </c>
      <c r="F33" t="s">
        <v>246</v>
      </c>
      <c r="G33" t="s">
        <v>131</v>
      </c>
      <c r="H33" s="14" t="s">
        <v>131</v>
      </c>
      <c r="I33" s="14" t="s">
        <v>131</v>
      </c>
      <c r="J33" s="14" t="s">
        <v>149</v>
      </c>
      <c r="K33" s="1" t="s">
        <v>131</v>
      </c>
      <c r="L33" s="15" t="s">
        <v>149</v>
      </c>
      <c r="M33" s="15" t="s">
        <v>149</v>
      </c>
      <c r="N33" s="1" t="s">
        <v>244</v>
      </c>
      <c r="O33" s="15" t="s">
        <v>244</v>
      </c>
      <c r="P33" s="2" t="str">
        <f t="shared" si="0"/>
        <v xml:space="preserve">EXECUTE [dbo].[PG_CI_DETALLE_PUNTO_VENTA] 0,0, 31, 31, 0,1899661,'Av Las Torres','N/D','N/D','N/D',0,'N/D',0,'0','NINGUNO','NINGUNO'; </v>
      </c>
    </row>
    <row r="34" spans="2:16" x14ac:dyDescent="0.45">
      <c r="B34" s="3">
        <v>32</v>
      </c>
      <c r="C34">
        <v>32</v>
      </c>
      <c r="D34">
        <v>0</v>
      </c>
      <c r="E34">
        <v>2756981</v>
      </c>
      <c r="F34" t="s">
        <v>247</v>
      </c>
      <c r="G34" t="s">
        <v>131</v>
      </c>
      <c r="H34" s="14" t="s">
        <v>131</v>
      </c>
      <c r="I34" s="14" t="s">
        <v>131</v>
      </c>
      <c r="J34" s="14" t="s">
        <v>149</v>
      </c>
      <c r="K34" s="1" t="s">
        <v>131</v>
      </c>
      <c r="L34" s="15" t="s">
        <v>149</v>
      </c>
      <c r="M34" s="15" t="s">
        <v>149</v>
      </c>
      <c r="N34" s="1" t="s">
        <v>244</v>
      </c>
      <c r="O34" s="15" t="s">
        <v>244</v>
      </c>
      <c r="P34" s="2" t="str">
        <f t="shared" si="0"/>
        <v xml:space="preserve">EXECUTE [dbo].[PG_CI_DETALLE_PUNTO_VENTA] 0,0, 32, 32, 0,2756981,'Zaragoz','N/D','N/D','N/D',0,'N/D',0,'0','NINGUNO','NINGUNO'; </v>
      </c>
    </row>
    <row r="35" spans="2:16" x14ac:dyDescent="0.45">
      <c r="B35" s="3">
        <v>33</v>
      </c>
      <c r="C35">
        <v>33</v>
      </c>
      <c r="D35">
        <v>0</v>
      </c>
      <c r="E35">
        <v>2379843</v>
      </c>
      <c r="F35" t="s">
        <v>248</v>
      </c>
      <c r="G35" t="s">
        <v>142</v>
      </c>
      <c r="H35" s="14" t="s">
        <v>131</v>
      </c>
      <c r="I35" s="14" t="s">
        <v>131</v>
      </c>
      <c r="J35" s="14" t="s">
        <v>149</v>
      </c>
      <c r="K35" s="1" t="s">
        <v>131</v>
      </c>
      <c r="L35" s="15" t="s">
        <v>149</v>
      </c>
      <c r="M35" s="15" t="s">
        <v>149</v>
      </c>
      <c r="N35" s="1" t="s">
        <v>244</v>
      </c>
      <c r="O35" s="15" t="s">
        <v>244</v>
      </c>
      <c r="P35" s="2" t="str">
        <f t="shared" si="0"/>
        <v xml:space="preserve">EXECUTE [dbo].[PG_CI_DETALLE_PUNTO_VENTA] 0,0, 33, 33, 0,2379843,'Panamericana','DV10353','N/D','N/D',0,'N/D',0,'0','NINGUNO','NINGUNO'; </v>
      </c>
    </row>
    <row r="36" spans="2:16" x14ac:dyDescent="0.45">
      <c r="B36" s="3">
        <v>34</v>
      </c>
      <c r="C36">
        <v>34</v>
      </c>
      <c r="D36">
        <v>0</v>
      </c>
      <c r="E36">
        <v>2640765</v>
      </c>
      <c r="F36" t="s">
        <v>246</v>
      </c>
      <c r="G36" t="s">
        <v>131</v>
      </c>
      <c r="H36" s="14" t="s">
        <v>131</v>
      </c>
      <c r="I36" s="14" t="s">
        <v>131</v>
      </c>
      <c r="J36" s="14" t="s">
        <v>149</v>
      </c>
      <c r="K36" s="1" t="s">
        <v>131</v>
      </c>
      <c r="L36" s="15" t="s">
        <v>149</v>
      </c>
      <c r="M36" s="15" t="s">
        <v>149</v>
      </c>
      <c r="N36" s="1" t="s">
        <v>244</v>
      </c>
      <c r="O36" s="15" t="s">
        <v>244</v>
      </c>
      <c r="P36" s="2" t="str">
        <f t="shared" si="0"/>
        <v xml:space="preserve">EXECUTE [dbo].[PG_CI_DETALLE_PUNTO_VENTA] 0,0, 34, 34, 0,2640765,'Av Las Torres','N/D','N/D','N/D',0,'N/D',0,'0','NINGUNO','NINGUNO'; </v>
      </c>
    </row>
    <row r="37" spans="2:16" x14ac:dyDescent="0.45">
      <c r="B37" s="3">
        <v>35</v>
      </c>
      <c r="C37">
        <v>35</v>
      </c>
      <c r="D37">
        <v>0</v>
      </c>
      <c r="E37">
        <v>613949</v>
      </c>
      <c r="F37" t="s">
        <v>247</v>
      </c>
      <c r="G37" t="s">
        <v>131</v>
      </c>
      <c r="H37" s="14" t="s">
        <v>170</v>
      </c>
      <c r="I37" s="14" t="s">
        <v>175</v>
      </c>
      <c r="J37" s="14" t="s">
        <v>178</v>
      </c>
      <c r="K37" s="1" t="s">
        <v>207</v>
      </c>
      <c r="L37" s="15" t="s">
        <v>149</v>
      </c>
      <c r="M37" s="15" t="s">
        <v>149</v>
      </c>
      <c r="N37" s="1" t="s">
        <v>244</v>
      </c>
      <c r="O37" s="15" t="s">
        <v>244</v>
      </c>
      <c r="P37" s="2" t="str">
        <f t="shared" si="0"/>
        <v xml:space="preserve">EXECUTE [dbo].[PG_CI_DETALLE_PUNTO_VENTA] 0,0, 35, 35, 0,613949,'Zaragoz','N/D','NISSAN','2007',1.3,'3N6DD14547K040525',0,'0','NINGUNO','NINGUNO'; </v>
      </c>
    </row>
    <row r="38" spans="2:16" x14ac:dyDescent="0.45">
      <c r="B38" s="3">
        <v>36</v>
      </c>
      <c r="C38">
        <v>36</v>
      </c>
      <c r="D38">
        <v>0</v>
      </c>
      <c r="E38">
        <v>1818505</v>
      </c>
      <c r="F38" t="s">
        <v>246</v>
      </c>
      <c r="G38" t="s">
        <v>131</v>
      </c>
      <c r="H38" s="14" t="s">
        <v>131</v>
      </c>
      <c r="I38" s="14" t="s">
        <v>131</v>
      </c>
      <c r="J38" s="14" t="s">
        <v>149</v>
      </c>
      <c r="K38" s="1" t="s">
        <v>131</v>
      </c>
      <c r="L38" s="15" t="s">
        <v>149</v>
      </c>
      <c r="M38" s="15" t="s">
        <v>149</v>
      </c>
      <c r="N38" s="1" t="s">
        <v>244</v>
      </c>
      <c r="O38" s="15" t="s">
        <v>244</v>
      </c>
      <c r="P38" s="2" t="str">
        <f t="shared" si="0"/>
        <v xml:space="preserve">EXECUTE [dbo].[PG_CI_DETALLE_PUNTO_VENTA] 0,0, 36, 36, 0,1818505,'Av Las Torres','N/D','N/D','N/D',0,'N/D',0,'0','NINGUNO','NINGUNO'; </v>
      </c>
    </row>
    <row r="39" spans="2:16" x14ac:dyDescent="0.45">
      <c r="B39" s="3">
        <v>37</v>
      </c>
      <c r="C39">
        <v>37</v>
      </c>
      <c r="D39">
        <v>0</v>
      </c>
      <c r="E39">
        <v>1346738</v>
      </c>
      <c r="F39" t="s">
        <v>247</v>
      </c>
      <c r="G39" t="s">
        <v>131</v>
      </c>
      <c r="H39" s="14" t="s">
        <v>170</v>
      </c>
      <c r="I39" s="14" t="s">
        <v>175</v>
      </c>
      <c r="J39" s="14" t="s">
        <v>179</v>
      </c>
      <c r="K39" s="1" t="s">
        <v>208</v>
      </c>
      <c r="L39" s="15" t="s">
        <v>149</v>
      </c>
      <c r="M39" s="15" t="s">
        <v>149</v>
      </c>
      <c r="N39" s="1" t="s">
        <v>244</v>
      </c>
      <c r="O39" s="15" t="s">
        <v>244</v>
      </c>
      <c r="P39" s="2" t="str">
        <f t="shared" si="0"/>
        <v xml:space="preserve">EXECUTE [dbo].[PG_CI_DETALLE_PUNTO_VENTA] 0,0, 37, 37, 0,1346738,'Zaragoz','N/D','NISSAN','2007',228.6,'3N6DD14568K002327',0,'0','NINGUNO','NINGUNO'; </v>
      </c>
    </row>
    <row r="40" spans="2:16" x14ac:dyDescent="0.45">
      <c r="B40" s="3">
        <v>38</v>
      </c>
      <c r="C40">
        <v>38</v>
      </c>
      <c r="D40">
        <v>0</v>
      </c>
      <c r="E40">
        <v>148707</v>
      </c>
      <c r="F40" t="s">
        <v>248</v>
      </c>
      <c r="G40" t="s">
        <v>131</v>
      </c>
      <c r="H40" s="14" t="s">
        <v>131</v>
      </c>
      <c r="I40" s="14" t="s">
        <v>131</v>
      </c>
      <c r="J40" s="14" t="s">
        <v>149</v>
      </c>
      <c r="K40" s="1" t="s">
        <v>131</v>
      </c>
      <c r="L40" s="15" t="s">
        <v>149</v>
      </c>
      <c r="M40" s="15" t="s">
        <v>149</v>
      </c>
      <c r="N40" s="1" t="s">
        <v>244</v>
      </c>
      <c r="O40" s="15" t="s">
        <v>244</v>
      </c>
      <c r="P40" s="2" t="str">
        <f t="shared" si="0"/>
        <v xml:space="preserve">EXECUTE [dbo].[PG_CI_DETALLE_PUNTO_VENTA] 0,0, 38, 38, 0,148707,'Panamericana','N/D','N/D','N/D',0,'N/D',0,'0','NINGUNO','NINGUNO'; </v>
      </c>
    </row>
    <row r="41" spans="2:16" x14ac:dyDescent="0.45">
      <c r="B41" s="3">
        <v>39</v>
      </c>
      <c r="C41">
        <v>39</v>
      </c>
      <c r="D41">
        <v>0</v>
      </c>
      <c r="E41">
        <v>68978</v>
      </c>
      <c r="F41" t="s">
        <v>246</v>
      </c>
      <c r="G41" t="s">
        <v>131</v>
      </c>
      <c r="H41" s="14" t="s">
        <v>131</v>
      </c>
      <c r="I41" s="14" t="s">
        <v>131</v>
      </c>
      <c r="J41" s="14" t="s">
        <v>149</v>
      </c>
      <c r="K41" s="1" t="s">
        <v>131</v>
      </c>
      <c r="L41" s="15" t="s">
        <v>149</v>
      </c>
      <c r="M41" s="15" t="s">
        <v>149</v>
      </c>
      <c r="N41" s="1" t="s">
        <v>244</v>
      </c>
      <c r="O41" s="15" t="s">
        <v>244</v>
      </c>
      <c r="P41" s="2" t="str">
        <f t="shared" si="0"/>
        <v xml:space="preserve">EXECUTE [dbo].[PG_CI_DETALLE_PUNTO_VENTA] 0,0, 39, 39, 0,68978,'Av Las Torres','N/D','N/D','N/D',0,'N/D',0,'0','NINGUNO','NINGUNO'; </v>
      </c>
    </row>
    <row r="42" spans="2:16" x14ac:dyDescent="0.45">
      <c r="B42" s="3">
        <v>40</v>
      </c>
      <c r="C42">
        <v>40</v>
      </c>
      <c r="D42">
        <v>0</v>
      </c>
      <c r="E42">
        <v>1869398</v>
      </c>
      <c r="F42" t="s">
        <v>247</v>
      </c>
      <c r="G42" t="s">
        <v>142</v>
      </c>
      <c r="H42" s="14" t="s">
        <v>131</v>
      </c>
      <c r="I42" s="14" t="s">
        <v>131</v>
      </c>
      <c r="J42" s="14" t="s">
        <v>149</v>
      </c>
      <c r="K42" s="1" t="s">
        <v>131</v>
      </c>
      <c r="L42" s="15" t="s">
        <v>149</v>
      </c>
      <c r="M42" s="15" t="s">
        <v>149</v>
      </c>
      <c r="N42" s="1" t="s">
        <v>244</v>
      </c>
      <c r="O42" s="15" t="s">
        <v>244</v>
      </c>
      <c r="P42" s="2" t="str">
        <f t="shared" si="0"/>
        <v xml:space="preserve">EXECUTE [dbo].[PG_CI_DETALLE_PUNTO_VENTA] 0,0, 40, 40, 0,1869398,'Zaragoz','DV10353','N/D','N/D',0,'N/D',0,'0','NINGUNO','NINGUNO'; </v>
      </c>
    </row>
    <row r="43" spans="2:16" x14ac:dyDescent="0.45">
      <c r="B43" s="3">
        <v>41</v>
      </c>
      <c r="C43">
        <v>41</v>
      </c>
      <c r="D43">
        <v>0</v>
      </c>
      <c r="E43">
        <v>0</v>
      </c>
      <c r="F43" t="s">
        <v>248</v>
      </c>
      <c r="G43" t="s">
        <v>131</v>
      </c>
      <c r="H43" s="14" t="s">
        <v>170</v>
      </c>
      <c r="I43" s="14" t="s">
        <v>171</v>
      </c>
      <c r="J43" s="14" t="s">
        <v>180</v>
      </c>
      <c r="K43" s="1" t="s">
        <v>209</v>
      </c>
      <c r="L43" s="15" t="s">
        <v>149</v>
      </c>
      <c r="M43" s="15" t="s">
        <v>149</v>
      </c>
      <c r="N43" s="1" t="s">
        <v>244</v>
      </c>
      <c r="O43" s="15" t="s">
        <v>244</v>
      </c>
      <c r="P43" s="2" t="str">
        <f t="shared" si="0"/>
        <v xml:space="preserve">EXECUTE [dbo].[PG_CI_DETALLE_PUNTO_VENTA] 0,0, 41, 41, 0,0,'Panamericana','N/D','NISSAN','2010',31741,'0144S02470505EAB',0,'0','NINGUNO','NINGUNO'; </v>
      </c>
    </row>
    <row r="44" spans="2:16" x14ac:dyDescent="0.45">
      <c r="B44" s="3">
        <v>42</v>
      </c>
      <c r="C44">
        <v>42</v>
      </c>
      <c r="D44">
        <v>0</v>
      </c>
      <c r="E44">
        <v>4769680</v>
      </c>
      <c r="F44" t="s">
        <v>246</v>
      </c>
      <c r="G44" t="s">
        <v>143</v>
      </c>
      <c r="H44" s="14" t="s">
        <v>131</v>
      </c>
      <c r="I44" s="14" t="s">
        <v>131</v>
      </c>
      <c r="J44" s="14" t="s">
        <v>149</v>
      </c>
      <c r="K44" s="1" t="s">
        <v>131</v>
      </c>
      <c r="L44" s="15" t="s">
        <v>149</v>
      </c>
      <c r="M44" s="15" t="s">
        <v>149</v>
      </c>
      <c r="N44" s="1" t="s">
        <v>244</v>
      </c>
      <c r="O44" s="15" t="s">
        <v>244</v>
      </c>
      <c r="P44" s="2" t="str">
        <f t="shared" si="0"/>
        <v xml:space="preserve">EXECUTE [dbo].[PG_CI_DETALLE_PUNTO_VENTA] 0,0, 42, 42, 0,4769680,'Av Las Torres','DV10359','N/D','N/D',0,'N/D',0,'0','NINGUNO','NINGUNO'; </v>
      </c>
    </row>
    <row r="45" spans="2:16" x14ac:dyDescent="0.45">
      <c r="B45" s="3">
        <v>43</v>
      </c>
      <c r="C45">
        <v>43</v>
      </c>
      <c r="D45">
        <v>0</v>
      </c>
      <c r="E45">
        <v>436731</v>
      </c>
      <c r="F45" t="s">
        <v>247</v>
      </c>
      <c r="G45" t="s">
        <v>131</v>
      </c>
      <c r="H45" s="14" t="s">
        <v>131</v>
      </c>
      <c r="I45" s="14" t="s">
        <v>131</v>
      </c>
      <c r="J45" s="14" t="s">
        <v>149</v>
      </c>
      <c r="K45" s="1" t="s">
        <v>131</v>
      </c>
      <c r="L45" s="15" t="s">
        <v>149</v>
      </c>
      <c r="M45" s="15" t="s">
        <v>149</v>
      </c>
      <c r="N45" s="1" t="s">
        <v>244</v>
      </c>
      <c r="O45" s="15" t="s">
        <v>244</v>
      </c>
      <c r="P45" s="2" t="str">
        <f t="shared" si="0"/>
        <v xml:space="preserve">EXECUTE [dbo].[PG_CI_DETALLE_PUNTO_VENTA] 0,0, 43, 43, 0,436731,'Zaragoz','N/D','N/D','N/D',0,'N/D',0,'0','NINGUNO','NINGUNO'; </v>
      </c>
    </row>
    <row r="46" spans="2:16" x14ac:dyDescent="0.45">
      <c r="B46" s="3">
        <v>44</v>
      </c>
      <c r="C46">
        <v>44</v>
      </c>
      <c r="D46">
        <v>0</v>
      </c>
      <c r="E46">
        <v>321083</v>
      </c>
      <c r="F46" t="s">
        <v>248</v>
      </c>
      <c r="G46" t="s">
        <v>131</v>
      </c>
      <c r="H46" s="14" t="s">
        <v>174</v>
      </c>
      <c r="I46" s="14" t="s">
        <v>131</v>
      </c>
      <c r="J46" s="14" t="s">
        <v>181</v>
      </c>
      <c r="K46" s="1" t="s">
        <v>131</v>
      </c>
      <c r="L46" s="15" t="s">
        <v>149</v>
      </c>
      <c r="M46" s="15" t="s">
        <v>239</v>
      </c>
      <c r="N46" s="1" t="s">
        <v>244</v>
      </c>
      <c r="O46" s="15" t="s">
        <v>244</v>
      </c>
      <c r="P46" s="2" t="str">
        <f t="shared" si="0"/>
        <v xml:space="preserve">EXECUTE [dbo].[PG_CI_DETALLE_PUNTO_VENTA] 0,0, 44, 44, 0,321083,'Panamericana','N/D','CHEVROLET HEAVY DUTY','N/D',8911979,'N/D',0,'10','NINGUNO','NINGUNO'; </v>
      </c>
    </row>
    <row r="47" spans="2:16" x14ac:dyDescent="0.45">
      <c r="B47" s="3">
        <v>45</v>
      </c>
      <c r="C47">
        <v>45</v>
      </c>
      <c r="D47">
        <v>0</v>
      </c>
      <c r="E47">
        <v>800766</v>
      </c>
      <c r="F47" t="s">
        <v>246</v>
      </c>
      <c r="G47" t="s">
        <v>131</v>
      </c>
      <c r="H47" s="14" t="s">
        <v>131</v>
      </c>
      <c r="I47" s="14" t="s">
        <v>131</v>
      </c>
      <c r="J47" s="14">
        <v>0</v>
      </c>
      <c r="K47" s="1" t="s">
        <v>131</v>
      </c>
      <c r="L47" s="15" t="s">
        <v>219</v>
      </c>
      <c r="M47" s="15" t="s">
        <v>240</v>
      </c>
      <c r="N47" s="1" t="s">
        <v>243</v>
      </c>
      <c r="O47" s="15" t="s">
        <v>126</v>
      </c>
      <c r="P47" s="2" t="str">
        <f t="shared" si="0"/>
        <v xml:space="preserve">EXECUTE [dbo].[PG_CI_DETALLE_PUNTO_VENTA] 0,0, 45, 45, 0,800766,'Av Las Torres','N/D','N/D','N/D',0,'N/D',4750,'80','MAS ALTO','GASPAR G4S'; </v>
      </c>
    </row>
    <row r="48" spans="2:16" x14ac:dyDescent="0.45">
      <c r="B48" s="3">
        <v>46</v>
      </c>
      <c r="C48">
        <v>46</v>
      </c>
      <c r="D48">
        <v>0</v>
      </c>
      <c r="E48">
        <v>1</v>
      </c>
      <c r="F48" t="s">
        <v>247</v>
      </c>
      <c r="G48" t="s">
        <v>131</v>
      </c>
      <c r="H48" s="14" t="s">
        <v>131</v>
      </c>
      <c r="I48" s="14" t="s">
        <v>131</v>
      </c>
      <c r="J48" s="14">
        <v>0</v>
      </c>
      <c r="K48" s="1" t="s">
        <v>131</v>
      </c>
      <c r="L48" s="15" t="s">
        <v>220</v>
      </c>
      <c r="M48" s="15" t="s">
        <v>240</v>
      </c>
      <c r="N48" s="1" t="s">
        <v>243</v>
      </c>
      <c r="O48" s="15" t="s">
        <v>245</v>
      </c>
      <c r="P48" s="2" t="str">
        <f t="shared" si="0"/>
        <v xml:space="preserve">EXECUTE [dbo].[PG_CI_DETALLE_PUNTO_VENTA] 0,0, 46, 46, 0,1,'Zaragoz','N/D','N/D','N/D',0,'N/D',3500,'80','MAS ALTO','GASPAR TRAD'; </v>
      </c>
    </row>
    <row r="49" spans="2:16" x14ac:dyDescent="0.45">
      <c r="B49" s="3">
        <v>47</v>
      </c>
      <c r="C49">
        <v>47</v>
      </c>
      <c r="D49">
        <v>0</v>
      </c>
      <c r="E49">
        <v>662985</v>
      </c>
      <c r="F49" t="s">
        <v>248</v>
      </c>
      <c r="G49" t="s">
        <v>131</v>
      </c>
      <c r="H49" s="14" t="s">
        <v>182</v>
      </c>
      <c r="I49" s="14" t="s">
        <v>183</v>
      </c>
      <c r="J49" s="14" t="s">
        <v>184</v>
      </c>
      <c r="K49" s="1" t="s">
        <v>210</v>
      </c>
      <c r="L49" s="15" t="s">
        <v>221</v>
      </c>
      <c r="M49" s="15" t="s">
        <v>241</v>
      </c>
      <c r="N49" s="1" t="s">
        <v>243</v>
      </c>
      <c r="O49" s="15" t="s">
        <v>126</v>
      </c>
      <c r="P49" s="2" t="str">
        <f t="shared" si="0"/>
        <v xml:space="preserve">EXECUTE [dbo].[PG_CI_DETALLE_PUNTO_VENTA] 0,0, 47, 47, 0,662985,'Panamericana','N/D','NISSAN VPM','2008',56309,'3NGDD14528K021599',1866,'73','MAS ALTO','GASPAR G4S'; </v>
      </c>
    </row>
    <row r="50" spans="2:16" x14ac:dyDescent="0.45">
      <c r="B50" s="3">
        <v>48</v>
      </c>
      <c r="C50">
        <v>48</v>
      </c>
      <c r="D50">
        <v>0</v>
      </c>
      <c r="E50">
        <v>2042134</v>
      </c>
      <c r="F50" t="s">
        <v>246</v>
      </c>
      <c r="G50" t="s">
        <v>131</v>
      </c>
      <c r="H50" s="14" t="s">
        <v>131</v>
      </c>
      <c r="I50" s="14" t="s">
        <v>131</v>
      </c>
      <c r="J50" s="14" t="s">
        <v>149</v>
      </c>
      <c r="K50" s="1" t="s">
        <v>131</v>
      </c>
      <c r="L50" s="15" t="s">
        <v>211</v>
      </c>
      <c r="M50" s="15" t="s">
        <v>239</v>
      </c>
      <c r="N50" s="1" t="s">
        <v>243</v>
      </c>
      <c r="O50" s="15" t="s">
        <v>245</v>
      </c>
      <c r="P50" s="2" t="str">
        <f t="shared" si="0"/>
        <v xml:space="preserve">EXECUTE [dbo].[PG_CI_DETALLE_PUNTO_VENTA] 0,0, 48, 48, 0,2042134,'Av Las Torres','N/D','N/D','N/D',0,'N/D',5000,'10','MAS ALTO','GASPAR TRAD'; </v>
      </c>
    </row>
    <row r="51" spans="2:16" x14ac:dyDescent="0.45">
      <c r="B51" s="3">
        <v>49</v>
      </c>
      <c r="C51">
        <v>49</v>
      </c>
      <c r="D51">
        <v>0</v>
      </c>
      <c r="E51">
        <v>497576</v>
      </c>
      <c r="F51" t="s">
        <v>247</v>
      </c>
      <c r="G51" t="s">
        <v>131</v>
      </c>
      <c r="H51" s="14" t="s">
        <v>131</v>
      </c>
      <c r="I51" s="14" t="s">
        <v>131</v>
      </c>
      <c r="J51" s="14" t="s">
        <v>149</v>
      </c>
      <c r="K51" s="1" t="s">
        <v>131</v>
      </c>
      <c r="L51" s="15" t="s">
        <v>220</v>
      </c>
      <c r="M51" s="15" t="s">
        <v>242</v>
      </c>
      <c r="N51" s="1" t="s">
        <v>243</v>
      </c>
      <c r="O51" s="15" t="s">
        <v>245</v>
      </c>
      <c r="P51" s="2" t="str">
        <f t="shared" si="0"/>
        <v xml:space="preserve">EXECUTE [dbo].[PG_CI_DETALLE_PUNTO_VENTA] 0,0, 49, 49, 0,497576,'Zaragoz','N/D','N/D','N/D',0,'N/D',3500,'1','MAS ALTO','GASPAR TRAD'; </v>
      </c>
    </row>
    <row r="52" spans="2:16" x14ac:dyDescent="0.45">
      <c r="B52" s="3">
        <v>50</v>
      </c>
      <c r="C52">
        <v>50</v>
      </c>
      <c r="D52">
        <v>0</v>
      </c>
      <c r="E52">
        <v>0</v>
      </c>
      <c r="F52" t="s">
        <v>248</v>
      </c>
      <c r="G52" t="s">
        <v>131</v>
      </c>
      <c r="H52" s="14" t="s">
        <v>131</v>
      </c>
      <c r="I52" s="14" t="s">
        <v>131</v>
      </c>
      <c r="J52" s="14" t="s">
        <v>149</v>
      </c>
      <c r="K52" s="1" t="s">
        <v>131</v>
      </c>
      <c r="L52" s="15" t="s">
        <v>211</v>
      </c>
      <c r="M52" s="15" t="s">
        <v>242</v>
      </c>
      <c r="N52" s="1" t="s">
        <v>243</v>
      </c>
      <c r="O52" s="15" t="s">
        <v>245</v>
      </c>
      <c r="P52" s="2" t="str">
        <f t="shared" si="0"/>
        <v xml:space="preserve">EXECUTE [dbo].[PG_CI_DETALLE_PUNTO_VENTA] 0,0, 50, 50, 0,0,'Panamericana','N/D','N/D','N/D',0,'N/D',5000,'1','MAS ALTO','GASPAR TRAD'; </v>
      </c>
    </row>
    <row r="53" spans="2:16" x14ac:dyDescent="0.45">
      <c r="L53" s="15" t="s">
        <v>211</v>
      </c>
      <c r="M53" s="1" t="s">
        <v>242</v>
      </c>
      <c r="N53" s="1" t="s">
        <v>243</v>
      </c>
      <c r="O53" s="15" t="s">
        <v>245</v>
      </c>
      <c r="P53" s="2" t="str">
        <f t="shared" si="0"/>
        <v xml:space="preserve">EXECUTE [dbo].[PG_CI_DETALLE_PUNTO_VENTA] 0,0, , , ,,'','','','',,'',5000,'1','MAS ALTO','GASPAR TRAD'; 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0" workbookViewId="0">
      <selection activeCell="I1" sqref="I1:I50"/>
    </sheetView>
  </sheetViews>
  <sheetFormatPr baseColWidth="10" defaultRowHeight="14.25" x14ac:dyDescent="0.45"/>
  <sheetData>
    <row r="1" spans="1:16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>
        <v>0</v>
      </c>
      <c r="K1">
        <v>0</v>
      </c>
      <c r="L1">
        <v>0</v>
      </c>
      <c r="M1">
        <v>60</v>
      </c>
      <c r="N1">
        <v>1</v>
      </c>
      <c r="O1" s="11">
        <v>41207.688564814816</v>
      </c>
      <c r="P1" t="s">
        <v>10</v>
      </c>
    </row>
    <row r="2" spans="1:16" x14ac:dyDescent="0.45">
      <c r="A2" t="s">
        <v>1</v>
      </c>
      <c r="B2" t="s">
        <v>2</v>
      </c>
      <c r="C2" t="s">
        <v>3</v>
      </c>
      <c r="D2" t="s">
        <v>4</v>
      </c>
      <c r="E2" t="s">
        <v>11</v>
      </c>
      <c r="F2" t="s">
        <v>12</v>
      </c>
      <c r="G2" t="s">
        <v>13</v>
      </c>
      <c r="H2" t="s">
        <v>8</v>
      </c>
      <c r="I2" t="s">
        <v>9</v>
      </c>
      <c r="J2">
        <v>0</v>
      </c>
      <c r="K2">
        <v>0</v>
      </c>
      <c r="L2">
        <v>0</v>
      </c>
      <c r="M2">
        <v>60</v>
      </c>
      <c r="N2">
        <v>1</v>
      </c>
      <c r="O2" s="11">
        <v>41207.688564814816</v>
      </c>
      <c r="P2" t="s">
        <v>10</v>
      </c>
    </row>
    <row r="3" spans="1:16" x14ac:dyDescent="0.45">
      <c r="A3" t="s">
        <v>1</v>
      </c>
      <c r="B3" t="s">
        <v>2</v>
      </c>
      <c r="C3" t="s">
        <v>3</v>
      </c>
      <c r="D3" t="s">
        <v>4</v>
      </c>
      <c r="E3" t="s">
        <v>14</v>
      </c>
      <c r="F3">
        <v>0</v>
      </c>
      <c r="G3" t="s">
        <v>7</v>
      </c>
      <c r="H3" t="s">
        <v>8</v>
      </c>
      <c r="I3" t="s">
        <v>15</v>
      </c>
      <c r="J3">
        <v>0</v>
      </c>
      <c r="K3">
        <v>0</v>
      </c>
      <c r="L3">
        <v>0</v>
      </c>
      <c r="M3">
        <v>60</v>
      </c>
      <c r="N3">
        <v>1</v>
      </c>
      <c r="O3" s="11">
        <v>41207.688564814816</v>
      </c>
      <c r="P3" t="s">
        <v>10</v>
      </c>
    </row>
    <row r="4" spans="1:16" x14ac:dyDescent="0.45">
      <c r="A4" t="s">
        <v>1</v>
      </c>
      <c r="B4" t="s">
        <v>2</v>
      </c>
      <c r="C4" t="s">
        <v>3</v>
      </c>
      <c r="D4" t="s">
        <v>4</v>
      </c>
      <c r="E4" t="s">
        <v>16</v>
      </c>
      <c r="F4" t="s">
        <v>17</v>
      </c>
      <c r="G4" t="s">
        <v>7</v>
      </c>
      <c r="H4" t="s">
        <v>8</v>
      </c>
      <c r="I4" t="s">
        <v>9</v>
      </c>
      <c r="J4">
        <v>0</v>
      </c>
      <c r="K4">
        <v>0</v>
      </c>
      <c r="L4">
        <v>0</v>
      </c>
      <c r="M4">
        <v>60</v>
      </c>
      <c r="N4">
        <v>1</v>
      </c>
      <c r="O4" s="11">
        <v>41207.688564814816</v>
      </c>
      <c r="P4" t="s">
        <v>10</v>
      </c>
    </row>
    <row r="5" spans="1:16" x14ac:dyDescent="0.45">
      <c r="A5" t="s">
        <v>1</v>
      </c>
      <c r="B5" t="s">
        <v>2</v>
      </c>
      <c r="C5" t="s">
        <v>3</v>
      </c>
      <c r="D5" t="s">
        <v>4</v>
      </c>
      <c r="E5" t="s">
        <v>18</v>
      </c>
      <c r="F5" t="s">
        <v>19</v>
      </c>
      <c r="G5" t="s">
        <v>7</v>
      </c>
      <c r="H5" t="s">
        <v>8</v>
      </c>
      <c r="I5" t="s">
        <v>9</v>
      </c>
      <c r="J5">
        <v>0</v>
      </c>
      <c r="K5">
        <v>0</v>
      </c>
      <c r="L5">
        <v>0</v>
      </c>
      <c r="M5">
        <v>60</v>
      </c>
      <c r="N5">
        <v>1</v>
      </c>
      <c r="O5" s="11">
        <v>41207.688564814816</v>
      </c>
      <c r="P5" t="s">
        <v>10</v>
      </c>
    </row>
    <row r="6" spans="1:16" x14ac:dyDescent="0.45">
      <c r="A6" t="s">
        <v>1</v>
      </c>
      <c r="B6" t="s">
        <v>2</v>
      </c>
      <c r="C6" t="s">
        <v>3</v>
      </c>
      <c r="D6" t="s">
        <v>4</v>
      </c>
      <c r="E6" t="s">
        <v>20</v>
      </c>
      <c r="F6" t="s">
        <v>21</v>
      </c>
      <c r="G6" t="s">
        <v>7</v>
      </c>
      <c r="H6" t="s">
        <v>8</v>
      </c>
      <c r="I6" t="s">
        <v>9</v>
      </c>
      <c r="J6">
        <v>0</v>
      </c>
      <c r="K6">
        <v>0</v>
      </c>
      <c r="L6">
        <v>0</v>
      </c>
      <c r="M6">
        <v>60</v>
      </c>
      <c r="N6">
        <v>1</v>
      </c>
      <c r="O6" s="11">
        <v>41207.688564814816</v>
      </c>
      <c r="P6" t="s">
        <v>10</v>
      </c>
    </row>
    <row r="7" spans="1:16" x14ac:dyDescent="0.45">
      <c r="A7" t="s">
        <v>1</v>
      </c>
      <c r="B7" t="s">
        <v>2</v>
      </c>
      <c r="C7" t="s">
        <v>3</v>
      </c>
      <c r="D7" t="s">
        <v>4</v>
      </c>
      <c r="E7" t="s">
        <v>22</v>
      </c>
      <c r="F7" t="s">
        <v>23</v>
      </c>
      <c r="G7" t="s">
        <v>7</v>
      </c>
      <c r="H7" t="s">
        <v>8</v>
      </c>
      <c r="I7" t="s">
        <v>9</v>
      </c>
      <c r="J7">
        <v>0</v>
      </c>
      <c r="K7">
        <v>0</v>
      </c>
      <c r="L7">
        <v>0</v>
      </c>
      <c r="M7">
        <v>60</v>
      </c>
      <c r="N7">
        <v>1</v>
      </c>
      <c r="O7" s="11">
        <v>41207.688564814816</v>
      </c>
      <c r="P7" t="s">
        <v>10</v>
      </c>
    </row>
    <row r="8" spans="1:16" x14ac:dyDescent="0.45">
      <c r="A8" t="s">
        <v>1</v>
      </c>
      <c r="B8" t="s">
        <v>2</v>
      </c>
      <c r="C8" t="s">
        <v>3</v>
      </c>
      <c r="D8" t="s">
        <v>4</v>
      </c>
      <c r="E8" t="s">
        <v>24</v>
      </c>
      <c r="F8" t="s">
        <v>25</v>
      </c>
      <c r="G8" t="s">
        <v>7</v>
      </c>
      <c r="H8" t="s">
        <v>8</v>
      </c>
      <c r="I8" t="s">
        <v>9</v>
      </c>
      <c r="J8">
        <v>0</v>
      </c>
      <c r="K8">
        <v>0</v>
      </c>
      <c r="L8">
        <v>0</v>
      </c>
      <c r="M8">
        <v>60</v>
      </c>
      <c r="N8">
        <v>1</v>
      </c>
      <c r="O8" s="11">
        <v>41207.688564814816</v>
      </c>
      <c r="P8" t="s">
        <v>10</v>
      </c>
    </row>
    <row r="9" spans="1:16" x14ac:dyDescent="0.45">
      <c r="A9" t="s">
        <v>1</v>
      </c>
      <c r="B9" t="s">
        <v>2</v>
      </c>
      <c r="C9" t="s">
        <v>3</v>
      </c>
      <c r="D9" t="s">
        <v>4</v>
      </c>
      <c r="E9" t="s">
        <v>26</v>
      </c>
      <c r="F9" t="s">
        <v>27</v>
      </c>
      <c r="G9" t="s">
        <v>7</v>
      </c>
      <c r="H9" t="s">
        <v>8</v>
      </c>
      <c r="I9" t="s">
        <v>9</v>
      </c>
      <c r="J9">
        <v>0</v>
      </c>
      <c r="K9">
        <v>0</v>
      </c>
      <c r="L9">
        <v>0</v>
      </c>
      <c r="M9">
        <v>60</v>
      </c>
      <c r="N9">
        <v>1</v>
      </c>
      <c r="O9" s="11">
        <v>41207.688564814816</v>
      </c>
      <c r="P9" t="s">
        <v>10</v>
      </c>
    </row>
    <row r="10" spans="1:16" x14ac:dyDescent="0.45">
      <c r="A10" t="s">
        <v>1</v>
      </c>
      <c r="B10" t="s">
        <v>2</v>
      </c>
      <c r="C10" t="s">
        <v>3</v>
      </c>
      <c r="D10" t="s">
        <v>4</v>
      </c>
      <c r="E10" t="s">
        <v>28</v>
      </c>
      <c r="F10" t="s">
        <v>29</v>
      </c>
      <c r="G10" t="s">
        <v>7</v>
      </c>
      <c r="H10" t="s">
        <v>8</v>
      </c>
      <c r="I10" t="s">
        <v>9</v>
      </c>
      <c r="J10">
        <v>0</v>
      </c>
      <c r="K10">
        <v>0</v>
      </c>
      <c r="L10">
        <v>0</v>
      </c>
      <c r="M10">
        <v>60</v>
      </c>
      <c r="N10">
        <v>1</v>
      </c>
      <c r="O10" s="11">
        <v>41207.688564814816</v>
      </c>
      <c r="P10" t="s">
        <v>10</v>
      </c>
    </row>
    <row r="11" spans="1:16" x14ac:dyDescent="0.45">
      <c r="A11" t="s">
        <v>1</v>
      </c>
      <c r="B11" t="s">
        <v>2</v>
      </c>
      <c r="C11" t="s">
        <v>3</v>
      </c>
      <c r="D11" t="s">
        <v>4</v>
      </c>
      <c r="E11" t="s">
        <v>30</v>
      </c>
      <c r="F11" t="s">
        <v>31</v>
      </c>
      <c r="G11" t="s">
        <v>7</v>
      </c>
      <c r="H11" t="s">
        <v>8</v>
      </c>
      <c r="I11" t="s">
        <v>9</v>
      </c>
      <c r="J11">
        <v>0</v>
      </c>
      <c r="K11">
        <v>0</v>
      </c>
      <c r="L11">
        <v>0</v>
      </c>
      <c r="M11">
        <v>60</v>
      </c>
      <c r="N11">
        <v>1</v>
      </c>
      <c r="O11" s="11">
        <v>41207.688564814816</v>
      </c>
      <c r="P11" t="s">
        <v>10</v>
      </c>
    </row>
    <row r="12" spans="1:16" x14ac:dyDescent="0.45">
      <c r="A12" t="s">
        <v>1</v>
      </c>
      <c r="B12" t="s">
        <v>2</v>
      </c>
      <c r="C12" t="s">
        <v>3</v>
      </c>
      <c r="D12" t="s">
        <v>4</v>
      </c>
      <c r="E12" t="s">
        <v>32</v>
      </c>
      <c r="F12" t="s">
        <v>33</v>
      </c>
      <c r="G12" t="s">
        <v>7</v>
      </c>
      <c r="H12" t="s">
        <v>8</v>
      </c>
      <c r="I12" t="s">
        <v>9</v>
      </c>
      <c r="J12">
        <v>0</v>
      </c>
      <c r="K12">
        <v>0</v>
      </c>
      <c r="L12">
        <v>0</v>
      </c>
      <c r="M12">
        <v>60</v>
      </c>
      <c r="N12">
        <v>1</v>
      </c>
      <c r="O12" s="11">
        <v>41207.688564814816</v>
      </c>
      <c r="P12" t="s">
        <v>10</v>
      </c>
    </row>
    <row r="13" spans="1:16" x14ac:dyDescent="0.45">
      <c r="A13" t="s">
        <v>1</v>
      </c>
      <c r="B13" t="s">
        <v>2</v>
      </c>
      <c r="C13" t="s">
        <v>3</v>
      </c>
      <c r="D13" t="s">
        <v>4</v>
      </c>
      <c r="E13" t="s">
        <v>34</v>
      </c>
      <c r="F13" t="s">
        <v>35</v>
      </c>
      <c r="G13" t="s">
        <v>7</v>
      </c>
      <c r="H13" t="s">
        <v>8</v>
      </c>
      <c r="I13" t="s">
        <v>9</v>
      </c>
      <c r="J13">
        <v>0</v>
      </c>
      <c r="K13">
        <v>0</v>
      </c>
      <c r="L13">
        <v>0</v>
      </c>
      <c r="M13">
        <v>60</v>
      </c>
      <c r="N13">
        <v>1</v>
      </c>
      <c r="O13" s="11">
        <v>41207.688564814816</v>
      </c>
      <c r="P13" t="s">
        <v>10</v>
      </c>
    </row>
    <row r="14" spans="1:16" x14ac:dyDescent="0.45">
      <c r="A14" t="s">
        <v>1</v>
      </c>
      <c r="B14" t="s">
        <v>2</v>
      </c>
      <c r="C14" t="s">
        <v>3</v>
      </c>
      <c r="D14" t="s">
        <v>4</v>
      </c>
      <c r="E14" t="s">
        <v>36</v>
      </c>
      <c r="F14" t="s">
        <v>37</v>
      </c>
      <c r="G14" t="s">
        <v>7</v>
      </c>
      <c r="H14" t="s">
        <v>8</v>
      </c>
      <c r="I14" t="s">
        <v>9</v>
      </c>
      <c r="J14">
        <v>0</v>
      </c>
      <c r="K14">
        <v>0</v>
      </c>
      <c r="L14">
        <v>0</v>
      </c>
      <c r="M14">
        <v>60</v>
      </c>
      <c r="N14">
        <v>1</v>
      </c>
      <c r="O14" s="11">
        <v>41207.688564814816</v>
      </c>
      <c r="P14" t="s">
        <v>10</v>
      </c>
    </row>
    <row r="15" spans="1:16" x14ac:dyDescent="0.45">
      <c r="A15" t="s">
        <v>1</v>
      </c>
      <c r="B15" t="s">
        <v>2</v>
      </c>
      <c r="C15" t="s">
        <v>3</v>
      </c>
      <c r="D15" t="s">
        <v>4</v>
      </c>
      <c r="E15" t="s">
        <v>38</v>
      </c>
      <c r="F15" t="s">
        <v>39</v>
      </c>
      <c r="G15" t="s">
        <v>7</v>
      </c>
      <c r="H15" t="s">
        <v>8</v>
      </c>
      <c r="I15" t="s">
        <v>9</v>
      </c>
      <c r="J15">
        <v>0</v>
      </c>
      <c r="K15">
        <v>0</v>
      </c>
      <c r="L15">
        <v>0</v>
      </c>
      <c r="M15">
        <v>60</v>
      </c>
      <c r="N15">
        <v>1</v>
      </c>
      <c r="O15" s="11">
        <v>41207.688564814816</v>
      </c>
      <c r="P15" t="s">
        <v>10</v>
      </c>
    </row>
    <row r="16" spans="1:16" x14ac:dyDescent="0.45">
      <c r="A16" t="s">
        <v>1</v>
      </c>
      <c r="B16" t="s">
        <v>2</v>
      </c>
      <c r="C16" t="s">
        <v>3</v>
      </c>
      <c r="D16" t="s">
        <v>4</v>
      </c>
      <c r="E16" t="s">
        <v>40</v>
      </c>
      <c r="F16" t="s">
        <v>41</v>
      </c>
      <c r="G16" t="s">
        <v>7</v>
      </c>
      <c r="H16" t="s">
        <v>8</v>
      </c>
      <c r="I16" t="s">
        <v>9</v>
      </c>
      <c r="J16">
        <v>0</v>
      </c>
      <c r="K16">
        <v>0</v>
      </c>
      <c r="L16">
        <v>0</v>
      </c>
      <c r="M16">
        <v>60</v>
      </c>
      <c r="N16">
        <v>1</v>
      </c>
      <c r="O16" s="11">
        <v>41207.688564814816</v>
      </c>
      <c r="P16" t="s">
        <v>10</v>
      </c>
    </row>
    <row r="17" spans="1:16" x14ac:dyDescent="0.45">
      <c r="A17" t="s">
        <v>1</v>
      </c>
      <c r="B17" t="s">
        <v>2</v>
      </c>
      <c r="C17" t="s">
        <v>3</v>
      </c>
      <c r="D17" t="s">
        <v>4</v>
      </c>
      <c r="E17" t="s">
        <v>42</v>
      </c>
      <c r="F17" t="s">
        <v>43</v>
      </c>
      <c r="G17" t="s">
        <v>7</v>
      </c>
      <c r="H17" t="s">
        <v>8</v>
      </c>
      <c r="I17" t="s">
        <v>9</v>
      </c>
      <c r="J17">
        <v>0</v>
      </c>
      <c r="K17">
        <v>0</v>
      </c>
      <c r="L17">
        <v>0</v>
      </c>
      <c r="M17">
        <v>60</v>
      </c>
      <c r="N17">
        <v>1</v>
      </c>
      <c r="O17" s="11">
        <v>41207.688564814816</v>
      </c>
      <c r="P17" t="s">
        <v>10</v>
      </c>
    </row>
    <row r="18" spans="1:16" x14ac:dyDescent="0.45">
      <c r="A18" t="s">
        <v>1</v>
      </c>
      <c r="B18" t="s">
        <v>2</v>
      </c>
      <c r="C18" t="s">
        <v>3</v>
      </c>
      <c r="D18" t="s">
        <v>4</v>
      </c>
      <c r="E18" t="s">
        <v>44</v>
      </c>
      <c r="F18" t="s">
        <v>45</v>
      </c>
      <c r="G18" t="s">
        <v>7</v>
      </c>
      <c r="H18" t="s">
        <v>8</v>
      </c>
      <c r="I18" t="s">
        <v>9</v>
      </c>
      <c r="J18">
        <v>0</v>
      </c>
      <c r="K18">
        <v>0</v>
      </c>
      <c r="L18">
        <v>0</v>
      </c>
      <c r="M18">
        <v>60</v>
      </c>
      <c r="N18">
        <v>1</v>
      </c>
      <c r="O18" s="11">
        <v>41207.688564814816</v>
      </c>
      <c r="P18" t="s">
        <v>10</v>
      </c>
    </row>
    <row r="19" spans="1:16" x14ac:dyDescent="0.45">
      <c r="A19" t="s">
        <v>1</v>
      </c>
      <c r="B19" t="s">
        <v>2</v>
      </c>
      <c r="C19" t="s">
        <v>3</v>
      </c>
      <c r="D19" t="s">
        <v>4</v>
      </c>
      <c r="E19" t="s">
        <v>46</v>
      </c>
      <c r="F19" t="s">
        <v>47</v>
      </c>
      <c r="G19" t="s">
        <v>7</v>
      </c>
      <c r="H19" t="s">
        <v>8</v>
      </c>
      <c r="I19" t="s">
        <v>9</v>
      </c>
      <c r="J19">
        <v>0</v>
      </c>
      <c r="K19">
        <v>0</v>
      </c>
      <c r="L19">
        <v>0</v>
      </c>
      <c r="M19">
        <v>60</v>
      </c>
      <c r="N19">
        <v>1</v>
      </c>
      <c r="O19" s="11">
        <v>41207.688564814816</v>
      </c>
      <c r="P19" t="s">
        <v>10</v>
      </c>
    </row>
    <row r="20" spans="1:16" x14ac:dyDescent="0.45">
      <c r="A20" t="s">
        <v>1</v>
      </c>
      <c r="B20" t="s">
        <v>2</v>
      </c>
      <c r="C20" t="s">
        <v>3</v>
      </c>
      <c r="D20" t="s">
        <v>4</v>
      </c>
      <c r="E20" t="s">
        <v>48</v>
      </c>
      <c r="F20" t="s">
        <v>49</v>
      </c>
      <c r="G20" t="s">
        <v>7</v>
      </c>
      <c r="H20" t="s">
        <v>8</v>
      </c>
      <c r="I20" t="s">
        <v>9</v>
      </c>
      <c r="J20">
        <v>0</v>
      </c>
      <c r="K20">
        <v>0</v>
      </c>
      <c r="L20">
        <v>0</v>
      </c>
      <c r="M20">
        <v>60</v>
      </c>
      <c r="N20">
        <v>1</v>
      </c>
      <c r="O20" s="11">
        <v>41207.688564814816</v>
      </c>
      <c r="P20" t="s">
        <v>10</v>
      </c>
    </row>
    <row r="21" spans="1:16" x14ac:dyDescent="0.45">
      <c r="A21" t="s">
        <v>1</v>
      </c>
      <c r="B21" t="s">
        <v>2</v>
      </c>
      <c r="C21" t="s">
        <v>3</v>
      </c>
      <c r="D21" t="s">
        <v>4</v>
      </c>
      <c r="E21" t="s">
        <v>50</v>
      </c>
      <c r="F21" t="s">
        <v>51</v>
      </c>
      <c r="G21" t="s">
        <v>7</v>
      </c>
      <c r="H21" t="s">
        <v>8</v>
      </c>
      <c r="I21" t="s">
        <v>9</v>
      </c>
      <c r="J21">
        <v>0</v>
      </c>
      <c r="K21">
        <v>0</v>
      </c>
      <c r="L21">
        <v>0</v>
      </c>
      <c r="M21">
        <v>60</v>
      </c>
      <c r="N21">
        <v>1</v>
      </c>
      <c r="O21" s="11">
        <v>41207.688564814816</v>
      </c>
      <c r="P21" t="s">
        <v>10</v>
      </c>
    </row>
    <row r="22" spans="1:16" x14ac:dyDescent="0.45">
      <c r="A22" t="s">
        <v>1</v>
      </c>
      <c r="B22" t="s">
        <v>2</v>
      </c>
      <c r="C22" t="s">
        <v>3</v>
      </c>
      <c r="D22" t="s">
        <v>4</v>
      </c>
      <c r="E22" t="s">
        <v>52</v>
      </c>
      <c r="F22" t="s">
        <v>53</v>
      </c>
      <c r="G22" t="s">
        <v>7</v>
      </c>
      <c r="H22" t="s">
        <v>8</v>
      </c>
      <c r="I22" t="s">
        <v>9</v>
      </c>
      <c r="J22">
        <v>0</v>
      </c>
      <c r="K22">
        <v>0</v>
      </c>
      <c r="L22">
        <v>0</v>
      </c>
      <c r="M22">
        <v>60</v>
      </c>
      <c r="N22">
        <v>1</v>
      </c>
      <c r="O22" s="11">
        <v>41207.688564814816</v>
      </c>
      <c r="P22" t="s">
        <v>10</v>
      </c>
    </row>
    <row r="23" spans="1:16" x14ac:dyDescent="0.45">
      <c r="A23" t="s">
        <v>1</v>
      </c>
      <c r="B23" t="s">
        <v>2</v>
      </c>
      <c r="C23" t="s">
        <v>3</v>
      </c>
      <c r="D23" t="s">
        <v>4</v>
      </c>
      <c r="E23" t="s">
        <v>54</v>
      </c>
      <c r="F23" t="s">
        <v>55</v>
      </c>
      <c r="G23" t="s">
        <v>7</v>
      </c>
      <c r="H23" t="s">
        <v>8</v>
      </c>
      <c r="I23" t="s">
        <v>9</v>
      </c>
      <c r="J23">
        <v>0</v>
      </c>
      <c r="K23">
        <v>0</v>
      </c>
      <c r="L23">
        <v>0</v>
      </c>
      <c r="M23">
        <v>60</v>
      </c>
      <c r="N23">
        <v>1</v>
      </c>
      <c r="O23" s="11">
        <v>41207.688564814816</v>
      </c>
      <c r="P23" t="s">
        <v>10</v>
      </c>
    </row>
    <row r="24" spans="1:16" x14ac:dyDescent="0.45">
      <c r="A24" t="s">
        <v>1</v>
      </c>
      <c r="B24" t="s">
        <v>2</v>
      </c>
      <c r="C24" t="s">
        <v>3</v>
      </c>
      <c r="D24" t="s">
        <v>4</v>
      </c>
      <c r="E24" t="s">
        <v>56</v>
      </c>
      <c r="F24" t="s">
        <v>57</v>
      </c>
      <c r="G24" t="s">
        <v>7</v>
      </c>
      <c r="H24" t="s">
        <v>8</v>
      </c>
      <c r="I24" t="s">
        <v>9</v>
      </c>
      <c r="J24">
        <v>0</v>
      </c>
      <c r="K24">
        <v>0</v>
      </c>
      <c r="L24">
        <v>0</v>
      </c>
      <c r="M24">
        <v>60</v>
      </c>
      <c r="N24">
        <v>1</v>
      </c>
      <c r="O24" s="11">
        <v>41207.688564814816</v>
      </c>
      <c r="P24" t="s">
        <v>10</v>
      </c>
    </row>
    <row r="25" spans="1:16" x14ac:dyDescent="0.45">
      <c r="A25" t="s">
        <v>1</v>
      </c>
      <c r="B25" t="s">
        <v>2</v>
      </c>
      <c r="C25" t="s">
        <v>3</v>
      </c>
      <c r="D25" t="s">
        <v>4</v>
      </c>
      <c r="E25" t="s">
        <v>58</v>
      </c>
      <c r="F25" t="s">
        <v>59</v>
      </c>
      <c r="G25" t="s">
        <v>7</v>
      </c>
      <c r="H25" t="s">
        <v>8</v>
      </c>
      <c r="I25" t="s">
        <v>9</v>
      </c>
      <c r="J25">
        <v>0</v>
      </c>
      <c r="K25">
        <v>0</v>
      </c>
      <c r="L25">
        <v>0</v>
      </c>
      <c r="M25">
        <v>60</v>
      </c>
      <c r="N25">
        <v>1</v>
      </c>
      <c r="O25" s="11">
        <v>41207.688564814816</v>
      </c>
      <c r="P25" t="s">
        <v>10</v>
      </c>
    </row>
    <row r="26" spans="1:16" x14ac:dyDescent="0.45">
      <c r="A26" t="s">
        <v>1</v>
      </c>
      <c r="B26" t="s">
        <v>2</v>
      </c>
      <c r="C26" t="s">
        <v>3</v>
      </c>
      <c r="D26" t="s">
        <v>4</v>
      </c>
      <c r="E26" t="s">
        <v>60</v>
      </c>
      <c r="F26" t="s">
        <v>61</v>
      </c>
      <c r="G26" t="s">
        <v>7</v>
      </c>
      <c r="H26" t="s">
        <v>8</v>
      </c>
      <c r="I26" t="s">
        <v>9</v>
      </c>
      <c r="J26">
        <v>0</v>
      </c>
      <c r="K26">
        <v>0</v>
      </c>
      <c r="L26">
        <v>0</v>
      </c>
      <c r="M26">
        <v>60</v>
      </c>
      <c r="N26">
        <v>1</v>
      </c>
      <c r="O26" s="11">
        <v>41207.688564814816</v>
      </c>
      <c r="P26" t="s">
        <v>10</v>
      </c>
    </row>
    <row r="27" spans="1:16" x14ac:dyDescent="0.45">
      <c r="A27" t="s">
        <v>1</v>
      </c>
      <c r="B27" t="s">
        <v>2</v>
      </c>
      <c r="C27" t="s">
        <v>3</v>
      </c>
      <c r="D27" t="s">
        <v>4</v>
      </c>
      <c r="E27" t="s">
        <v>62</v>
      </c>
      <c r="F27" t="s">
        <v>63</v>
      </c>
      <c r="G27" t="s">
        <v>13</v>
      </c>
      <c r="H27" t="s">
        <v>8</v>
      </c>
      <c r="I27" t="s">
        <v>9</v>
      </c>
      <c r="J27">
        <v>0</v>
      </c>
      <c r="K27">
        <v>0</v>
      </c>
      <c r="L27">
        <v>0</v>
      </c>
      <c r="M27">
        <v>60</v>
      </c>
      <c r="N27">
        <v>1</v>
      </c>
      <c r="O27" s="11">
        <v>41207.688564814816</v>
      </c>
      <c r="P27" t="s">
        <v>10</v>
      </c>
    </row>
    <row r="28" spans="1:16" x14ac:dyDescent="0.45">
      <c r="A28" t="s">
        <v>1</v>
      </c>
      <c r="B28" t="s">
        <v>2</v>
      </c>
      <c r="C28" t="s">
        <v>3</v>
      </c>
      <c r="D28" t="s">
        <v>4</v>
      </c>
      <c r="E28" t="s">
        <v>64</v>
      </c>
      <c r="F28" t="s">
        <v>65</v>
      </c>
      <c r="G28" t="s">
        <v>13</v>
      </c>
      <c r="H28" t="s">
        <v>8</v>
      </c>
      <c r="I28" t="s">
        <v>9</v>
      </c>
      <c r="J28">
        <v>0</v>
      </c>
      <c r="K28">
        <v>0</v>
      </c>
      <c r="L28">
        <v>0</v>
      </c>
      <c r="M28">
        <v>60</v>
      </c>
      <c r="N28">
        <v>1</v>
      </c>
      <c r="O28" s="11">
        <v>41207.688564814816</v>
      </c>
      <c r="P28" t="s">
        <v>10</v>
      </c>
    </row>
    <row r="29" spans="1:16" x14ac:dyDescent="0.45">
      <c r="A29" t="s">
        <v>1</v>
      </c>
      <c r="B29" t="s">
        <v>2</v>
      </c>
      <c r="C29" t="s">
        <v>3</v>
      </c>
      <c r="D29" t="s">
        <v>4</v>
      </c>
      <c r="E29" t="s">
        <v>66</v>
      </c>
      <c r="F29" t="s">
        <v>67</v>
      </c>
      <c r="G29" t="s">
        <v>13</v>
      </c>
      <c r="H29" t="s">
        <v>8</v>
      </c>
      <c r="I29" t="s">
        <v>9</v>
      </c>
      <c r="J29">
        <v>0</v>
      </c>
      <c r="K29">
        <v>0</v>
      </c>
      <c r="L29">
        <v>0</v>
      </c>
      <c r="M29">
        <v>60</v>
      </c>
      <c r="N29">
        <v>0</v>
      </c>
      <c r="O29" s="11">
        <v>41207.688564814816</v>
      </c>
      <c r="P29" t="s">
        <v>10</v>
      </c>
    </row>
    <row r="30" spans="1:16" x14ac:dyDescent="0.45">
      <c r="A30" t="s">
        <v>1</v>
      </c>
      <c r="B30" t="s">
        <v>2</v>
      </c>
      <c r="C30" t="s">
        <v>3</v>
      </c>
      <c r="D30" t="s">
        <v>4</v>
      </c>
      <c r="E30" t="s">
        <v>68</v>
      </c>
      <c r="F30" t="s">
        <v>69</v>
      </c>
      <c r="G30" t="s">
        <v>13</v>
      </c>
      <c r="H30" t="s">
        <v>8</v>
      </c>
      <c r="I30" t="s">
        <v>9</v>
      </c>
      <c r="J30">
        <v>0</v>
      </c>
      <c r="K30">
        <v>0</v>
      </c>
      <c r="L30">
        <v>0</v>
      </c>
      <c r="M30">
        <v>60</v>
      </c>
      <c r="N30">
        <v>0</v>
      </c>
      <c r="O30" s="11">
        <v>41207.688564814816</v>
      </c>
      <c r="P30" t="s">
        <v>10</v>
      </c>
    </row>
    <row r="31" spans="1:16" x14ac:dyDescent="0.45">
      <c r="A31" t="s">
        <v>1</v>
      </c>
      <c r="B31" t="s">
        <v>2</v>
      </c>
      <c r="C31" t="s">
        <v>3</v>
      </c>
      <c r="D31" t="s">
        <v>4</v>
      </c>
      <c r="E31" t="s">
        <v>70</v>
      </c>
      <c r="F31" t="s">
        <v>71</v>
      </c>
      <c r="G31" t="s">
        <v>13</v>
      </c>
      <c r="H31" t="s">
        <v>8</v>
      </c>
      <c r="I31" t="s">
        <v>9</v>
      </c>
      <c r="J31">
        <v>0</v>
      </c>
      <c r="K31">
        <v>0</v>
      </c>
      <c r="L31">
        <v>0</v>
      </c>
      <c r="M31">
        <v>60</v>
      </c>
      <c r="N31">
        <v>0</v>
      </c>
      <c r="O31" s="11">
        <v>41207.688564814816</v>
      </c>
      <c r="P31" t="s">
        <v>10</v>
      </c>
    </row>
    <row r="32" spans="1:16" x14ac:dyDescent="0.45">
      <c r="A32" t="s">
        <v>1</v>
      </c>
      <c r="B32" t="s">
        <v>2</v>
      </c>
      <c r="C32" t="s">
        <v>3</v>
      </c>
      <c r="D32" t="s">
        <v>4</v>
      </c>
      <c r="E32" t="s">
        <v>72</v>
      </c>
      <c r="F32" t="s">
        <v>73</v>
      </c>
      <c r="G32" t="s">
        <v>13</v>
      </c>
      <c r="H32" t="s">
        <v>8</v>
      </c>
      <c r="I32" t="s">
        <v>9</v>
      </c>
      <c r="J32">
        <v>0</v>
      </c>
      <c r="K32">
        <v>0</v>
      </c>
      <c r="L32">
        <v>0</v>
      </c>
      <c r="M32">
        <v>60</v>
      </c>
      <c r="N32">
        <v>0</v>
      </c>
      <c r="O32" s="11">
        <v>41207.688564814816</v>
      </c>
      <c r="P32" t="s">
        <v>10</v>
      </c>
    </row>
    <row r="33" spans="1:16" x14ac:dyDescent="0.45">
      <c r="A33" t="s">
        <v>1</v>
      </c>
      <c r="B33" t="s">
        <v>2</v>
      </c>
      <c r="C33" t="s">
        <v>3</v>
      </c>
      <c r="D33" t="s">
        <v>4</v>
      </c>
      <c r="E33" t="s">
        <v>74</v>
      </c>
      <c r="F33" t="s">
        <v>75</v>
      </c>
      <c r="G33" t="s">
        <v>13</v>
      </c>
      <c r="H33" t="s">
        <v>8</v>
      </c>
      <c r="I33" t="s">
        <v>9</v>
      </c>
      <c r="J33">
        <v>0</v>
      </c>
      <c r="K33">
        <v>0</v>
      </c>
      <c r="L33">
        <v>0</v>
      </c>
      <c r="M33">
        <v>60</v>
      </c>
      <c r="N33">
        <v>0</v>
      </c>
      <c r="O33" s="11">
        <v>41207.688564814816</v>
      </c>
      <c r="P33" t="s">
        <v>10</v>
      </c>
    </row>
    <row r="34" spans="1:16" x14ac:dyDescent="0.45">
      <c r="A34" t="s">
        <v>1</v>
      </c>
      <c r="B34" t="s">
        <v>2</v>
      </c>
      <c r="C34" t="s">
        <v>3</v>
      </c>
      <c r="D34" t="s">
        <v>4</v>
      </c>
      <c r="E34" t="s">
        <v>76</v>
      </c>
      <c r="F34" t="s">
        <v>77</v>
      </c>
      <c r="G34" t="s">
        <v>13</v>
      </c>
      <c r="H34" t="s">
        <v>8</v>
      </c>
      <c r="I34" t="s">
        <v>9</v>
      </c>
      <c r="J34">
        <v>0</v>
      </c>
      <c r="K34">
        <v>0</v>
      </c>
      <c r="L34">
        <v>0</v>
      </c>
      <c r="M34">
        <v>60</v>
      </c>
      <c r="N34">
        <v>0</v>
      </c>
      <c r="O34" s="11">
        <v>41207.688564814816</v>
      </c>
      <c r="P34" t="s">
        <v>10</v>
      </c>
    </row>
    <row r="35" spans="1:16" x14ac:dyDescent="0.45">
      <c r="A35" t="s">
        <v>1</v>
      </c>
      <c r="B35" t="s">
        <v>2</v>
      </c>
      <c r="C35" t="s">
        <v>3</v>
      </c>
      <c r="D35" t="s">
        <v>4</v>
      </c>
      <c r="E35" t="s">
        <v>78</v>
      </c>
      <c r="F35" t="s">
        <v>79</v>
      </c>
      <c r="G35" t="s">
        <v>13</v>
      </c>
      <c r="H35" t="s">
        <v>8</v>
      </c>
      <c r="I35" t="s">
        <v>9</v>
      </c>
      <c r="J35">
        <v>0</v>
      </c>
      <c r="K35">
        <v>0</v>
      </c>
      <c r="L35">
        <v>0</v>
      </c>
      <c r="M35">
        <v>60</v>
      </c>
      <c r="N35">
        <v>0</v>
      </c>
      <c r="O35" s="11">
        <v>41207.688564814816</v>
      </c>
      <c r="P35" t="s">
        <v>10</v>
      </c>
    </row>
    <row r="36" spans="1:16" x14ac:dyDescent="0.45">
      <c r="A36" t="s">
        <v>1</v>
      </c>
      <c r="B36" t="s">
        <v>2</v>
      </c>
      <c r="C36" t="s">
        <v>3</v>
      </c>
      <c r="D36" t="s">
        <v>4</v>
      </c>
      <c r="E36" t="s">
        <v>80</v>
      </c>
      <c r="F36" t="s">
        <v>81</v>
      </c>
      <c r="G36" t="s">
        <v>13</v>
      </c>
      <c r="H36" t="s">
        <v>8</v>
      </c>
      <c r="I36" t="s">
        <v>9</v>
      </c>
      <c r="J36">
        <v>0</v>
      </c>
      <c r="K36">
        <v>0</v>
      </c>
      <c r="L36">
        <v>0</v>
      </c>
      <c r="M36">
        <v>60</v>
      </c>
      <c r="N36">
        <v>0</v>
      </c>
      <c r="O36" s="11">
        <v>41207.688564814816</v>
      </c>
      <c r="P36" t="s">
        <v>10</v>
      </c>
    </row>
    <row r="37" spans="1:16" x14ac:dyDescent="0.45">
      <c r="A37" t="s">
        <v>1</v>
      </c>
      <c r="B37" t="s">
        <v>2</v>
      </c>
      <c r="C37" t="s">
        <v>3</v>
      </c>
      <c r="D37" t="s">
        <v>4</v>
      </c>
      <c r="E37" t="s">
        <v>82</v>
      </c>
      <c r="F37" t="s">
        <v>83</v>
      </c>
      <c r="G37" t="s">
        <v>13</v>
      </c>
      <c r="H37" t="s">
        <v>8</v>
      </c>
      <c r="I37" t="s">
        <v>9</v>
      </c>
      <c r="J37">
        <v>0</v>
      </c>
      <c r="K37">
        <v>0</v>
      </c>
      <c r="L37">
        <v>0</v>
      </c>
      <c r="M37">
        <v>60</v>
      </c>
      <c r="N37">
        <v>0</v>
      </c>
      <c r="O37" s="11">
        <v>41207.688564814816</v>
      </c>
      <c r="P37" t="s">
        <v>10</v>
      </c>
    </row>
    <row r="38" spans="1:16" x14ac:dyDescent="0.45">
      <c r="A38" t="s">
        <v>1</v>
      </c>
      <c r="B38" t="s">
        <v>2</v>
      </c>
      <c r="C38" t="s">
        <v>3</v>
      </c>
      <c r="D38" t="s">
        <v>4</v>
      </c>
      <c r="E38" t="s">
        <v>84</v>
      </c>
      <c r="F38" t="s">
        <v>85</v>
      </c>
      <c r="G38" t="s">
        <v>13</v>
      </c>
      <c r="H38" t="s">
        <v>8</v>
      </c>
      <c r="I38" t="s">
        <v>9</v>
      </c>
      <c r="J38">
        <v>0</v>
      </c>
      <c r="K38">
        <v>0</v>
      </c>
      <c r="L38">
        <v>0</v>
      </c>
      <c r="M38">
        <v>60</v>
      </c>
      <c r="N38">
        <v>1</v>
      </c>
      <c r="O38" s="11">
        <v>41207.688564814816</v>
      </c>
      <c r="P38" t="s">
        <v>10</v>
      </c>
    </row>
    <row r="39" spans="1:16" x14ac:dyDescent="0.45">
      <c r="A39" t="s">
        <v>1</v>
      </c>
      <c r="B39" t="s">
        <v>2</v>
      </c>
      <c r="C39" t="s">
        <v>3</v>
      </c>
      <c r="D39" t="s">
        <v>4</v>
      </c>
      <c r="E39" t="s">
        <v>86</v>
      </c>
      <c r="F39" t="s">
        <v>87</v>
      </c>
      <c r="G39" t="s">
        <v>13</v>
      </c>
      <c r="H39" t="s">
        <v>8</v>
      </c>
      <c r="I39" t="s">
        <v>9</v>
      </c>
      <c r="J39">
        <v>0</v>
      </c>
      <c r="K39">
        <v>0</v>
      </c>
      <c r="L39">
        <v>0</v>
      </c>
      <c r="M39">
        <v>60</v>
      </c>
      <c r="N39">
        <v>0</v>
      </c>
      <c r="O39" s="11">
        <v>41207.688564814816</v>
      </c>
      <c r="P39" t="s">
        <v>10</v>
      </c>
    </row>
    <row r="40" spans="1:16" x14ac:dyDescent="0.45">
      <c r="A40" t="s">
        <v>1</v>
      </c>
      <c r="B40" t="s">
        <v>2</v>
      </c>
      <c r="C40" t="s">
        <v>3</v>
      </c>
      <c r="D40" t="s">
        <v>4</v>
      </c>
      <c r="E40" t="s">
        <v>88</v>
      </c>
      <c r="F40" t="s">
        <v>89</v>
      </c>
      <c r="G40" t="s">
        <v>13</v>
      </c>
      <c r="H40" t="s">
        <v>8</v>
      </c>
      <c r="I40" t="s">
        <v>9</v>
      </c>
      <c r="J40">
        <v>0</v>
      </c>
      <c r="K40">
        <v>0</v>
      </c>
      <c r="L40">
        <v>0</v>
      </c>
      <c r="M40">
        <v>60</v>
      </c>
      <c r="N40">
        <v>0</v>
      </c>
      <c r="O40" s="11">
        <v>41207.688564814816</v>
      </c>
      <c r="P40" t="s">
        <v>10</v>
      </c>
    </row>
    <row r="41" spans="1:16" x14ac:dyDescent="0.45">
      <c r="A41" t="s">
        <v>1</v>
      </c>
      <c r="B41" t="s">
        <v>2</v>
      </c>
      <c r="C41" t="s">
        <v>3</v>
      </c>
      <c r="D41" t="s">
        <v>4</v>
      </c>
      <c r="E41" t="s">
        <v>90</v>
      </c>
      <c r="F41" t="s">
        <v>91</v>
      </c>
      <c r="G41" t="s">
        <v>13</v>
      </c>
      <c r="H41" t="s">
        <v>8</v>
      </c>
      <c r="I41" t="s">
        <v>9</v>
      </c>
      <c r="J41">
        <v>0</v>
      </c>
      <c r="K41">
        <v>0</v>
      </c>
      <c r="L41">
        <v>0</v>
      </c>
      <c r="M41">
        <v>60</v>
      </c>
      <c r="N41">
        <v>0</v>
      </c>
      <c r="O41" s="11">
        <v>41207.688564814816</v>
      </c>
      <c r="P41" t="s">
        <v>10</v>
      </c>
    </row>
    <row r="42" spans="1:16" x14ac:dyDescent="0.45">
      <c r="A42" t="s">
        <v>1</v>
      </c>
      <c r="B42" t="s">
        <v>2</v>
      </c>
      <c r="C42" t="s">
        <v>3</v>
      </c>
      <c r="D42" t="s">
        <v>4</v>
      </c>
      <c r="E42" t="s">
        <v>92</v>
      </c>
      <c r="F42" t="s">
        <v>93</v>
      </c>
      <c r="G42" t="s">
        <v>13</v>
      </c>
      <c r="H42" t="s">
        <v>8</v>
      </c>
      <c r="I42" t="s">
        <v>9</v>
      </c>
      <c r="J42">
        <v>0</v>
      </c>
      <c r="K42">
        <v>0</v>
      </c>
      <c r="L42">
        <v>0</v>
      </c>
      <c r="M42">
        <v>60</v>
      </c>
      <c r="N42">
        <v>0</v>
      </c>
      <c r="O42" s="11">
        <v>41207.688564814816</v>
      </c>
      <c r="P42" t="s">
        <v>10</v>
      </c>
    </row>
    <row r="43" spans="1:16" x14ac:dyDescent="0.45">
      <c r="A43" t="s">
        <v>1</v>
      </c>
      <c r="B43" t="s">
        <v>2</v>
      </c>
      <c r="C43" t="s">
        <v>3</v>
      </c>
      <c r="D43" t="s">
        <v>4</v>
      </c>
      <c r="E43" t="s">
        <v>94</v>
      </c>
      <c r="F43" t="s">
        <v>95</v>
      </c>
      <c r="G43" t="s">
        <v>13</v>
      </c>
      <c r="H43" t="s">
        <v>8</v>
      </c>
      <c r="I43" t="s">
        <v>9</v>
      </c>
      <c r="J43">
        <v>0</v>
      </c>
      <c r="K43">
        <v>0</v>
      </c>
      <c r="L43">
        <v>0</v>
      </c>
      <c r="M43">
        <v>60</v>
      </c>
      <c r="N43">
        <v>0</v>
      </c>
      <c r="O43" s="11">
        <v>41207.688564814816</v>
      </c>
      <c r="P43" t="s">
        <v>10</v>
      </c>
    </row>
    <row r="44" spans="1:16" x14ac:dyDescent="0.45">
      <c r="A44" t="s">
        <v>1</v>
      </c>
      <c r="B44" t="s">
        <v>2</v>
      </c>
      <c r="C44" t="s">
        <v>3</v>
      </c>
      <c r="D44" t="s">
        <v>4</v>
      </c>
      <c r="E44" t="s">
        <v>96</v>
      </c>
      <c r="F44" t="s">
        <v>97</v>
      </c>
      <c r="G44" t="s">
        <v>13</v>
      </c>
      <c r="H44" t="s">
        <v>8</v>
      </c>
      <c r="I44" t="s">
        <v>9</v>
      </c>
      <c r="J44">
        <v>0</v>
      </c>
      <c r="K44">
        <v>0</v>
      </c>
      <c r="L44">
        <v>0</v>
      </c>
      <c r="M44">
        <v>60</v>
      </c>
      <c r="N44">
        <v>0</v>
      </c>
      <c r="O44" s="11">
        <v>41207.688564814816</v>
      </c>
      <c r="P44" t="s">
        <v>10</v>
      </c>
    </row>
    <row r="45" spans="1:16" x14ac:dyDescent="0.45">
      <c r="A45" t="s">
        <v>1</v>
      </c>
      <c r="B45" t="s">
        <v>2</v>
      </c>
      <c r="C45" t="s">
        <v>3</v>
      </c>
      <c r="D45" t="s">
        <v>4</v>
      </c>
      <c r="E45" t="s">
        <v>98</v>
      </c>
      <c r="F45" t="s">
        <v>99</v>
      </c>
      <c r="G45" t="s">
        <v>13</v>
      </c>
      <c r="H45" t="s">
        <v>8</v>
      </c>
      <c r="I45" t="s">
        <v>9</v>
      </c>
      <c r="J45">
        <v>0</v>
      </c>
      <c r="K45">
        <v>0</v>
      </c>
      <c r="L45">
        <v>0</v>
      </c>
      <c r="M45">
        <v>60</v>
      </c>
      <c r="N45">
        <v>0</v>
      </c>
      <c r="O45" s="11">
        <v>41207.688564814816</v>
      </c>
      <c r="P45" t="s">
        <v>10</v>
      </c>
    </row>
    <row r="46" spans="1:16" x14ac:dyDescent="0.45">
      <c r="A46" t="s">
        <v>1</v>
      </c>
      <c r="B46" t="s">
        <v>2</v>
      </c>
      <c r="C46" t="s">
        <v>3</v>
      </c>
      <c r="D46" t="s">
        <v>4</v>
      </c>
      <c r="E46" t="s">
        <v>100</v>
      </c>
      <c r="F46" t="s">
        <v>101</v>
      </c>
      <c r="G46" t="s">
        <v>13</v>
      </c>
      <c r="H46" t="s">
        <v>8</v>
      </c>
      <c r="I46" t="s">
        <v>9</v>
      </c>
      <c r="J46">
        <v>0</v>
      </c>
      <c r="K46">
        <v>0</v>
      </c>
      <c r="L46">
        <v>0</v>
      </c>
      <c r="M46">
        <v>60</v>
      </c>
      <c r="N46">
        <v>0</v>
      </c>
      <c r="O46" s="11">
        <v>41207.688564814816</v>
      </c>
      <c r="P46" t="s">
        <v>10</v>
      </c>
    </row>
    <row r="47" spans="1:16" x14ac:dyDescent="0.45">
      <c r="A47" t="s">
        <v>1</v>
      </c>
      <c r="B47" t="s">
        <v>2</v>
      </c>
      <c r="C47" t="s">
        <v>3</v>
      </c>
      <c r="D47" t="s">
        <v>4</v>
      </c>
      <c r="E47" t="s">
        <v>102</v>
      </c>
      <c r="F47" t="s">
        <v>103</v>
      </c>
      <c r="G47" t="s">
        <v>13</v>
      </c>
      <c r="H47" t="s">
        <v>8</v>
      </c>
      <c r="I47" t="s">
        <v>9</v>
      </c>
      <c r="J47">
        <v>0</v>
      </c>
      <c r="K47">
        <v>0</v>
      </c>
      <c r="L47">
        <v>0</v>
      </c>
      <c r="M47">
        <v>60</v>
      </c>
      <c r="N47">
        <v>1</v>
      </c>
      <c r="O47" s="11">
        <v>41207.688564814816</v>
      </c>
      <c r="P47" t="s">
        <v>10</v>
      </c>
    </row>
    <row r="48" spans="1:16" x14ac:dyDescent="0.45">
      <c r="A48" t="s">
        <v>1</v>
      </c>
      <c r="B48" t="s">
        <v>2</v>
      </c>
      <c r="C48" t="s">
        <v>3</v>
      </c>
      <c r="D48" t="s">
        <v>4</v>
      </c>
      <c r="E48" t="s">
        <v>104</v>
      </c>
      <c r="F48" t="s">
        <v>105</v>
      </c>
      <c r="G48" t="s">
        <v>13</v>
      </c>
      <c r="H48" t="s">
        <v>8</v>
      </c>
      <c r="I48" t="s">
        <v>9</v>
      </c>
      <c r="J48">
        <v>0</v>
      </c>
      <c r="K48">
        <v>0</v>
      </c>
      <c r="L48">
        <v>0</v>
      </c>
      <c r="M48">
        <v>60</v>
      </c>
      <c r="N48">
        <v>0</v>
      </c>
      <c r="O48" s="11">
        <v>41207.688564814816</v>
      </c>
      <c r="P48" t="s">
        <v>10</v>
      </c>
    </row>
    <row r="49" spans="1:16" x14ac:dyDescent="0.45">
      <c r="A49" t="s">
        <v>1</v>
      </c>
      <c r="B49" t="s">
        <v>2</v>
      </c>
      <c r="C49" t="s">
        <v>3</v>
      </c>
      <c r="D49" t="s">
        <v>4</v>
      </c>
      <c r="E49" t="s">
        <v>106</v>
      </c>
      <c r="F49" t="s">
        <v>107</v>
      </c>
      <c r="G49" t="s">
        <v>13</v>
      </c>
      <c r="H49" t="s">
        <v>8</v>
      </c>
      <c r="I49" t="s">
        <v>9</v>
      </c>
      <c r="J49">
        <v>0</v>
      </c>
      <c r="K49">
        <v>0</v>
      </c>
      <c r="L49">
        <v>0</v>
      </c>
      <c r="M49">
        <v>60</v>
      </c>
      <c r="N49">
        <v>0</v>
      </c>
      <c r="O49" s="11">
        <v>41207.688564814816</v>
      </c>
      <c r="P49" t="s">
        <v>10</v>
      </c>
    </row>
    <row r="50" spans="1:16" x14ac:dyDescent="0.45">
      <c r="A50" t="s">
        <v>1</v>
      </c>
      <c r="B50" t="s">
        <v>2</v>
      </c>
      <c r="C50" t="s">
        <v>3</v>
      </c>
      <c r="D50" t="s">
        <v>4</v>
      </c>
      <c r="E50" t="s">
        <v>108</v>
      </c>
      <c r="F50" t="s">
        <v>109</v>
      </c>
      <c r="G50" t="s">
        <v>7</v>
      </c>
      <c r="H50" t="s">
        <v>8</v>
      </c>
      <c r="I50" t="s">
        <v>9</v>
      </c>
      <c r="J50">
        <v>0</v>
      </c>
      <c r="K50">
        <v>0</v>
      </c>
      <c r="L50">
        <v>0</v>
      </c>
      <c r="M50">
        <v>60</v>
      </c>
      <c r="N50">
        <v>1</v>
      </c>
      <c r="O50" s="11">
        <v>41207.688564814816</v>
      </c>
      <c r="P50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Jesus Arciniega</cp:lastModifiedBy>
  <dcterms:created xsi:type="dcterms:W3CDTF">2017-11-29T18:04:32Z</dcterms:created>
  <dcterms:modified xsi:type="dcterms:W3CDTF">2019-02-01T00:25:17Z</dcterms:modified>
</cp:coreProperties>
</file>