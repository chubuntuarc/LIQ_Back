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30" windowHeight="7590"/>
  </bookViews>
  <sheets>
    <sheet name="EMPRESA" sheetId="1" r:id="rId1"/>
    <sheet name="PRECIO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  <c r="G3" i="1"/>
  <c r="B3" i="1" l="1"/>
  <c r="D4" i="1" l="1"/>
  <c r="A4" i="1"/>
  <c r="B4" i="1" s="1"/>
  <c r="G4" i="1" l="1"/>
  <c r="A5" i="1"/>
  <c r="B5" i="1" s="1"/>
  <c r="M9" i="2"/>
  <c r="L9" i="2"/>
  <c r="N9" i="2" s="1"/>
  <c r="M8" i="2"/>
  <c r="L8" i="2" s="1"/>
  <c r="N8" i="2" s="1"/>
  <c r="M7" i="2"/>
  <c r="L7" i="2"/>
  <c r="N7" i="2" s="1"/>
  <c r="M6" i="2"/>
  <c r="L6" i="2" s="1"/>
  <c r="N6" i="2" s="1"/>
  <c r="M5" i="2"/>
  <c r="L5" i="2"/>
  <c r="N5" i="2" s="1"/>
  <c r="M4" i="2"/>
  <c r="L4" i="2" s="1"/>
  <c r="N4" i="2" s="1"/>
  <c r="M3" i="2"/>
  <c r="L3" i="2"/>
  <c r="N3" i="2" s="1"/>
  <c r="D5" i="1" l="1"/>
  <c r="E5" i="1" s="1"/>
  <c r="A6" i="1"/>
  <c r="B6" i="1" s="1"/>
  <c r="D6" i="1" l="1"/>
  <c r="E6" i="1" s="1"/>
  <c r="G5" i="1"/>
  <c r="A7" i="1"/>
  <c r="B7" i="1" s="1"/>
  <c r="A8" i="1"/>
  <c r="B8" i="1" s="1"/>
  <c r="D7" i="1" l="1"/>
  <c r="E7" i="1" s="1"/>
  <c r="G6" i="1"/>
  <c r="D8" i="1" l="1"/>
  <c r="E8" i="1" s="1"/>
  <c r="G7" i="1"/>
  <c r="G8" i="1" l="1"/>
</calcChain>
</file>

<file path=xl/sharedStrings.xml><?xml version="1.0" encoding="utf-8"?>
<sst xmlns="http://schemas.openxmlformats.org/spreadsheetml/2006/main" count="31" uniqueCount="21">
  <si>
    <t>K_PRODUCTO</t>
  </si>
  <si>
    <t>K_PRECIO</t>
  </si>
  <si>
    <t>D_PRECIO</t>
  </si>
  <si>
    <t>S_PRECIO</t>
  </si>
  <si>
    <t>O_PRECIO</t>
  </si>
  <si>
    <t>K_ESTATUS_PRECIO</t>
  </si>
  <si>
    <t>K_TIPO_PRECIO</t>
  </si>
  <si>
    <t>F_VIGENCIA_INICIO</t>
  </si>
  <si>
    <t>F_VIGENCIA_FIN</t>
  </si>
  <si>
    <t>PRECIO_SIN_IVA</t>
  </si>
  <si>
    <t>PRECIO_IVA</t>
  </si>
  <si>
    <t>PRECIO_CON_IVA</t>
  </si>
  <si>
    <t>PRECIO GENERAL</t>
  </si>
  <si>
    <t>PRECIO LOCAL</t>
  </si>
  <si>
    <t>PRECIO SUBCIDIADO</t>
  </si>
  <si>
    <t>PREGEN</t>
  </si>
  <si>
    <t>PRELOC</t>
  </si>
  <si>
    <t>PRESUB</t>
  </si>
  <si>
    <t>K_TASA_IMPUESTO</t>
  </si>
  <si>
    <t>K_IMPUESTO</t>
  </si>
  <si>
    <t>VALOR_TASA_IMPUESTO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</si>
</sst>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* #,##0.00_-;\-&quot;$&quot;* #,##0.00_-;_-&quot;$&quot;* &quot;-&quot;??_-;_-@_-"/>
    <numFmt numFmtId="165" formatCode="dd/mmm/yyyy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0" fillId="0" borderId="0" xfId="0" applyFill="1"/>
    <xf numFmtId="0" fontId="0" fillId="0" borderId="0" xfId="0" quotePrefix="1" applyNumberFormat="1"/>
    <xf numFmtId="0" fontId="3" fillId="0" borderId="0" xfId="0" applyFont="1"/>
    <xf numFmtId="14" fontId="0" fillId="0" borderId="0" xfId="0" applyNumberFormat="1" applyFont="1"/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7"/>
  <sheetViews>
    <sheetView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baseColWidth="10" defaultRowHeight="15" x14ac:dyDescent="0.25"/>
  <cols>
    <col min="2" max="2" width="18.28515625" style="3" bestFit="1" customWidth="1"/>
    <col min="3" max="3" width="14.7109375" style="13" bestFit="1" customWidth="1"/>
    <col min="4" max="4" width="28.7109375" style="1" bestFit="1" customWidth="1"/>
    <col min="5" max="5" width="28.42578125" style="1" bestFit="1" customWidth="1"/>
    <col min="6" max="6" width="23.28515625" bestFit="1" customWidth="1"/>
    <col min="7" max="7" width="94" bestFit="1" customWidth="1"/>
    <col min="9" max="9" width="28.5703125" bestFit="1" customWidth="1"/>
    <col min="10" max="10" width="21.5703125" bestFit="1" customWidth="1"/>
    <col min="11" max="11" width="12" bestFit="1" customWidth="1"/>
    <col min="12" max="12" width="31.85546875" customWidth="1"/>
    <col min="13" max="13" width="13.85546875" bestFit="1" customWidth="1"/>
  </cols>
  <sheetData>
    <row r="2" spans="1:15" s="4" customFormat="1" x14ac:dyDescent="0.25">
      <c r="B2" s="3" t="s">
        <v>18</v>
      </c>
      <c r="C2" s="11" t="s">
        <v>19</v>
      </c>
      <c r="D2" s="5" t="s">
        <v>7</v>
      </c>
      <c r="E2" s="5" t="s">
        <v>8</v>
      </c>
      <c r="F2" s="4" t="s">
        <v>20</v>
      </c>
      <c r="O2" s="2"/>
    </row>
    <row r="3" spans="1:15" x14ac:dyDescent="0.25">
      <c r="A3" s="3">
        <v>1</v>
      </c>
      <c r="B3" s="10">
        <f>100+A3</f>
        <v>101</v>
      </c>
      <c r="C3" s="12">
        <v>1</v>
      </c>
      <c r="D3" s="14">
        <v>43101</v>
      </c>
      <c r="E3" s="14">
        <f>D3+60</f>
        <v>43161</v>
      </c>
      <c r="F3" s="16">
        <v>0.16</v>
      </c>
      <c r="G3" s="2" t="str">
        <f>CONCATENATE("EXECUTE [dbo].[PG_CI_TASA_IMPUESTO] 0, 0,",B3,",",C3,",'",TEXT(D3,"YYYY-MM-DD"),"','",TEXT(E3,"YYYY-MM-DD"),"',",F3,"; ")</f>
        <v xml:space="preserve">EXECUTE [dbo].[PG_CI_TASA_IMPUESTO] 0, 0,101,1,'2018-01-01','2018-03-02',0.16; </v>
      </c>
      <c r="K3" s="1"/>
      <c r="O3" s="2"/>
    </row>
    <row r="4" spans="1:15" x14ac:dyDescent="0.25">
      <c r="A4" s="10">
        <f>A3+1</f>
        <v>2</v>
      </c>
      <c r="B4" s="10">
        <f t="shared" ref="B4" si="0">100+A4</f>
        <v>102</v>
      </c>
      <c r="C4" s="12">
        <v>1</v>
      </c>
      <c r="D4" s="15">
        <f>E3+1</f>
        <v>43162</v>
      </c>
      <c r="E4" s="14">
        <f t="shared" ref="E4:E8" si="1">D4+60</f>
        <v>43222</v>
      </c>
      <c r="F4" s="16">
        <v>0.16</v>
      </c>
      <c r="G4" s="2" t="str">
        <f t="shared" ref="G4:G8" si="2">CONCATENATE("EXECUTE [dbo].[PG_CI_TASA_IMPUESTO] 0, 0,",B4,",",C4,",'",TEXT(D4,"YYYY-MM-DD"),"','",TEXT(E4,"YYYY-MM-DD"),"',",F4,"; ")</f>
        <v xml:space="preserve">EXECUTE [dbo].[PG_CI_TASA_IMPUESTO] 0, 0,102,1,'2018-03-03','2018-05-02',0.16; </v>
      </c>
      <c r="K4" s="1"/>
      <c r="O4" s="2"/>
    </row>
    <row r="5" spans="1:15" x14ac:dyDescent="0.25">
      <c r="A5" s="10">
        <f t="shared" ref="A5:A8" si="3">A4+1</f>
        <v>3</v>
      </c>
      <c r="B5" s="10">
        <f t="shared" ref="B5" si="4">100+A5</f>
        <v>103</v>
      </c>
      <c r="C5" s="12">
        <v>1</v>
      </c>
      <c r="D5" s="15">
        <f t="shared" ref="D5:D8" si="5">E4+1</f>
        <v>43223</v>
      </c>
      <c r="E5" s="14">
        <f t="shared" si="1"/>
        <v>43283</v>
      </c>
      <c r="F5" s="16">
        <v>0.16</v>
      </c>
      <c r="G5" s="2" t="str">
        <f t="shared" si="2"/>
        <v xml:space="preserve">EXECUTE [dbo].[PG_CI_TASA_IMPUESTO] 0, 0,103,1,'2018-05-03','2018-07-02',0.16; </v>
      </c>
      <c r="K5" s="1"/>
      <c r="O5" s="2"/>
    </row>
    <row r="6" spans="1:15" x14ac:dyDescent="0.25">
      <c r="A6" s="10">
        <f t="shared" si="3"/>
        <v>4</v>
      </c>
      <c r="B6" s="10">
        <f t="shared" ref="B6" si="6">100+A6</f>
        <v>104</v>
      </c>
      <c r="C6" s="12">
        <v>1</v>
      </c>
      <c r="D6" s="15">
        <f t="shared" si="5"/>
        <v>43284</v>
      </c>
      <c r="E6" s="14">
        <f t="shared" si="1"/>
        <v>43344</v>
      </c>
      <c r="F6" s="16">
        <v>0.16</v>
      </c>
      <c r="G6" s="2" t="str">
        <f t="shared" si="2"/>
        <v xml:space="preserve">EXECUTE [dbo].[PG_CI_TASA_IMPUESTO] 0, 0,104,1,'2018-07-03','2018-09-01',0.16; </v>
      </c>
      <c r="K6" s="1"/>
      <c r="O6" s="2"/>
    </row>
    <row r="7" spans="1:15" x14ac:dyDescent="0.25">
      <c r="A7" s="10">
        <f t="shared" si="3"/>
        <v>5</v>
      </c>
      <c r="B7" s="10">
        <f t="shared" ref="B7" si="7">100+A7</f>
        <v>105</v>
      </c>
      <c r="C7" s="12">
        <v>1</v>
      </c>
      <c r="D7" s="15">
        <f t="shared" si="5"/>
        <v>43345</v>
      </c>
      <c r="E7" s="14">
        <f t="shared" si="1"/>
        <v>43405</v>
      </c>
      <c r="F7" s="16">
        <v>0.16</v>
      </c>
      <c r="G7" s="2" t="str">
        <f t="shared" si="2"/>
        <v xml:space="preserve">EXECUTE [dbo].[PG_CI_TASA_IMPUESTO] 0, 0,105,1,'2018-09-02','2018-11-01',0.16; </v>
      </c>
      <c r="K7" s="1"/>
      <c r="O7" s="2"/>
    </row>
    <row r="8" spans="1:15" x14ac:dyDescent="0.25">
      <c r="A8" s="10">
        <f t="shared" si="3"/>
        <v>6</v>
      </c>
      <c r="B8" s="10">
        <f t="shared" ref="B8" si="8">100+A8</f>
        <v>106</v>
      </c>
      <c r="C8" s="12">
        <v>1</v>
      </c>
      <c r="D8" s="15">
        <f t="shared" si="5"/>
        <v>43406</v>
      </c>
      <c r="E8" s="14">
        <f t="shared" si="1"/>
        <v>43466</v>
      </c>
      <c r="F8" s="16">
        <v>0.16</v>
      </c>
      <c r="G8" s="2" t="str">
        <f t="shared" si="2"/>
        <v xml:space="preserve">EXECUTE [dbo].[PG_CI_TASA_IMPUESTO] 0, 0,106,1,'2018-11-02','2019-01-01',0.16; </v>
      </c>
      <c r="K8" s="1"/>
      <c r="O8" s="2"/>
    </row>
    <row r="10" spans="1:15" x14ac:dyDescent="0.25">
      <c r="L10" s="6"/>
    </row>
    <row r="11" spans="1:15" x14ac:dyDescent="0.25">
      <c r="L11" s="6"/>
    </row>
    <row r="12" spans="1:15" x14ac:dyDescent="0.25">
      <c r="L12" s="6"/>
    </row>
    <row r="13" spans="1:15" x14ac:dyDescent="0.25">
      <c r="L13" s="6"/>
    </row>
    <row r="14" spans="1:15" x14ac:dyDescent="0.25">
      <c r="L14" s="6"/>
    </row>
    <row r="15" spans="1:15" x14ac:dyDescent="0.25">
      <c r="L15" s="6"/>
    </row>
    <row r="16" spans="1:15" x14ac:dyDescent="0.25">
      <c r="L16" s="6"/>
    </row>
    <row r="17" spans="12:12" x14ac:dyDescent="0.25">
      <c r="L17" s="6"/>
    </row>
    <row r="18" spans="12:12" x14ac:dyDescent="0.25">
      <c r="L18" s="6"/>
    </row>
    <row r="19" spans="12:12" x14ac:dyDescent="0.25">
      <c r="L19" s="6"/>
    </row>
    <row r="20" spans="12:12" x14ac:dyDescent="0.25">
      <c r="L20" s="6"/>
    </row>
    <row r="21" spans="12:12" x14ac:dyDescent="0.25">
      <c r="L21" s="6"/>
    </row>
    <row r="22" spans="12:12" x14ac:dyDescent="0.25">
      <c r="L22" s="6"/>
    </row>
    <row r="23" spans="12:12" x14ac:dyDescent="0.25">
      <c r="L23" s="6"/>
    </row>
    <row r="24" spans="12:12" x14ac:dyDescent="0.25">
      <c r="L24" s="6"/>
    </row>
    <row r="25" spans="12:12" x14ac:dyDescent="0.25">
      <c r="L25" s="6"/>
    </row>
    <row r="26" spans="12:12" x14ac:dyDescent="0.25">
      <c r="L26" s="6"/>
    </row>
    <row r="27" spans="12:12" x14ac:dyDescent="0.25">
      <c r="L27" s="6"/>
    </row>
    <row r="28" spans="12:12" x14ac:dyDescent="0.25">
      <c r="L28" s="6"/>
    </row>
    <row r="37" spans="4:4" x14ac:dyDescent="0.25">
      <c r="D37" s="1">
        <v>43053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5"/>
  <sheetViews>
    <sheetView topLeftCell="G1" workbookViewId="0">
      <selection activeCell="N3" sqref="N3"/>
    </sheetView>
  </sheetViews>
  <sheetFormatPr baseColWidth="10" defaultRowHeight="15" x14ac:dyDescent="0.25"/>
  <cols>
    <col min="3" max="3" width="19" bestFit="1" customWidth="1"/>
  </cols>
  <sheetData>
    <row r="2" spans="2:22" s="4" customFormat="1" x14ac:dyDescent="0.3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0</v>
      </c>
      <c r="I2" s="5" t="s">
        <v>7</v>
      </c>
      <c r="J2" s="5" t="s">
        <v>8</v>
      </c>
      <c r="K2" s="4" t="s">
        <v>9</v>
      </c>
      <c r="L2" s="4" t="s">
        <v>10</v>
      </c>
      <c r="M2" s="4" t="s">
        <v>11</v>
      </c>
      <c r="V2" s="2"/>
    </row>
    <row r="3" spans="2:22" x14ac:dyDescent="0.3">
      <c r="B3" s="3">
        <v>1</v>
      </c>
      <c r="C3" t="s">
        <v>12</v>
      </c>
      <c r="D3" t="s">
        <v>15</v>
      </c>
      <c r="E3">
        <v>1</v>
      </c>
      <c r="F3">
        <v>1</v>
      </c>
      <c r="G3" s="7">
        <v>1</v>
      </c>
      <c r="H3" s="7">
        <v>1</v>
      </c>
      <c r="I3" s="9">
        <v>43393</v>
      </c>
      <c r="J3" s="9">
        <v>43424</v>
      </c>
      <c r="K3">
        <v>15</v>
      </c>
      <c r="L3">
        <f>M3-K3</f>
        <v>2.3999999999999986</v>
      </c>
      <c r="M3">
        <f>(K3*0.16)+K3</f>
        <v>17.399999999999999</v>
      </c>
      <c r="N3" s="2" t="str">
        <f>CONCATENATE("EXECUTE [dbo].[PG_CF_PRECIO] 0, 0,",B3,", '",C3,"', '",D3,"', ",E3,",",F3,",",G3,",",H3,",'",TEXT(I3,"AAAA-DD-MM"),"','",TEXT(J3,"AAAA-DD-MM"),"',",K3,",",L3,",",M3,"; ")</f>
        <v xml:space="preserve">EXECUTE [dbo].[PG_CF_PRECIO] 0, 0,1, 'PRECIO GENERAL', 'PREGEN', 1,1,1,1,'2018-20-10','2018-20-11',15,2.4,17.4; </v>
      </c>
      <c r="R3" s="1"/>
      <c r="V3" s="2"/>
    </row>
    <row r="4" spans="2:22" x14ac:dyDescent="0.3">
      <c r="B4" s="3">
        <v>2</v>
      </c>
      <c r="C4" t="s">
        <v>13</v>
      </c>
      <c r="D4" t="s">
        <v>16</v>
      </c>
      <c r="E4">
        <v>1</v>
      </c>
      <c r="F4">
        <v>1</v>
      </c>
      <c r="G4" s="7">
        <v>3</v>
      </c>
      <c r="H4" s="7">
        <v>1</v>
      </c>
      <c r="I4" s="9">
        <v>43394</v>
      </c>
      <c r="J4" s="9">
        <v>43425</v>
      </c>
      <c r="K4">
        <v>16</v>
      </c>
      <c r="L4">
        <f t="shared" ref="L4:L9" si="0">M4-K4</f>
        <v>2.5599999999999987</v>
      </c>
      <c r="M4">
        <f t="shared" ref="M4:M9" si="1">(K4*0.16)+K4</f>
        <v>18.559999999999999</v>
      </c>
      <c r="N4" s="2" t="str">
        <f t="shared" ref="N4:N9" si="2">CONCATENATE("EXECUTE [dbo].[PG_CF_PRECIO] 0, 0,",B4,", '",C4,"', '",D4,"', ",E4,",",F4,",",G4,",",H4,",'",TEXT(I4,"AAAA-DD-MM"),"','",TEXT(J4,"AAAA-DD-MM"),"',",K4,",",L4,",",M4,"; ")</f>
        <v xml:space="preserve">EXECUTE [dbo].[PG_CF_PRECIO] 0, 0,2, 'PRECIO LOCAL', 'PRELOC', 1,1,3,1,'2018-21-10','2018-21-11',16,2.56,18.56; </v>
      </c>
      <c r="R4" s="1"/>
      <c r="V4" s="2"/>
    </row>
    <row r="5" spans="2:22" x14ac:dyDescent="0.3">
      <c r="B5" s="3">
        <v>3</v>
      </c>
      <c r="C5" t="s">
        <v>14</v>
      </c>
      <c r="D5" t="s">
        <v>17</v>
      </c>
      <c r="E5">
        <v>1</v>
      </c>
      <c r="F5">
        <v>0</v>
      </c>
      <c r="G5" s="7">
        <v>1</v>
      </c>
      <c r="H5" s="7">
        <v>1</v>
      </c>
      <c r="I5" s="9">
        <v>43395</v>
      </c>
      <c r="J5" s="9">
        <v>43426</v>
      </c>
      <c r="K5">
        <v>13</v>
      </c>
      <c r="L5">
        <f t="shared" si="0"/>
        <v>2.08</v>
      </c>
      <c r="M5">
        <f t="shared" si="1"/>
        <v>15.08</v>
      </c>
      <c r="N5" s="2" t="str">
        <f t="shared" si="2"/>
        <v xml:space="preserve">EXECUTE [dbo].[PG_CF_PRECIO] 0, 0,3, 'PRECIO SUBCIDIADO', 'PRESUB', 1,0,1,1,'2018-22-10','2018-22-11',13,2.08,15.08; </v>
      </c>
      <c r="R5" s="1"/>
      <c r="V5" s="2"/>
    </row>
    <row r="6" spans="2:22" x14ac:dyDescent="0.3">
      <c r="B6" s="3">
        <v>4</v>
      </c>
      <c r="C6" t="s">
        <v>12</v>
      </c>
      <c r="D6" t="s">
        <v>15</v>
      </c>
      <c r="E6">
        <v>1</v>
      </c>
      <c r="F6">
        <v>1</v>
      </c>
      <c r="G6" s="7">
        <v>1</v>
      </c>
      <c r="H6" s="7">
        <v>2</v>
      </c>
      <c r="I6" s="9">
        <v>43396</v>
      </c>
      <c r="J6" s="9">
        <v>43427</v>
      </c>
      <c r="K6">
        <v>14.56</v>
      </c>
      <c r="L6">
        <f t="shared" si="0"/>
        <v>2.329600000000001</v>
      </c>
      <c r="M6">
        <f t="shared" si="1"/>
        <v>16.889600000000002</v>
      </c>
      <c r="N6" s="2" t="str">
        <f t="shared" si="2"/>
        <v xml:space="preserve">EXECUTE [dbo].[PG_CF_PRECIO] 0, 0,4, 'PRECIO GENERAL', 'PREGEN', 1,1,1,2,'2018-23-10','2018-23-11',14.56,2.3296,16.8896; </v>
      </c>
      <c r="R6" s="1"/>
      <c r="V6" s="2"/>
    </row>
    <row r="7" spans="2:22" x14ac:dyDescent="0.3">
      <c r="B7" s="3">
        <v>5</v>
      </c>
      <c r="C7" t="s">
        <v>13</v>
      </c>
      <c r="D7" t="s">
        <v>16</v>
      </c>
      <c r="E7">
        <v>1</v>
      </c>
      <c r="F7">
        <v>1</v>
      </c>
      <c r="G7" s="7">
        <v>3</v>
      </c>
      <c r="H7" s="7">
        <v>2</v>
      </c>
      <c r="I7" s="9">
        <v>43397</v>
      </c>
      <c r="J7" s="9">
        <v>43428</v>
      </c>
      <c r="K7">
        <v>15.5</v>
      </c>
      <c r="L7">
        <f t="shared" si="0"/>
        <v>2.4800000000000004</v>
      </c>
      <c r="M7">
        <f t="shared" si="1"/>
        <v>17.98</v>
      </c>
      <c r="N7" s="2" t="str">
        <f t="shared" si="2"/>
        <v xml:space="preserve">EXECUTE [dbo].[PG_CF_PRECIO] 0, 0,5, 'PRECIO LOCAL', 'PRELOC', 1,1,3,2,'2018-24-10','2018-24-11',15.5,2.48,17.98; </v>
      </c>
      <c r="R7" s="1"/>
      <c r="V7" s="2"/>
    </row>
    <row r="8" spans="2:22" x14ac:dyDescent="0.3">
      <c r="B8" s="3">
        <v>6</v>
      </c>
      <c r="C8" t="s">
        <v>12</v>
      </c>
      <c r="D8" t="s">
        <v>15</v>
      </c>
      <c r="E8">
        <v>1</v>
      </c>
      <c r="F8">
        <v>1</v>
      </c>
      <c r="G8" s="7">
        <v>1</v>
      </c>
      <c r="H8" s="7">
        <v>3</v>
      </c>
      <c r="I8" s="9">
        <v>43398</v>
      </c>
      <c r="J8" s="9">
        <v>43429</v>
      </c>
      <c r="K8">
        <v>15.9</v>
      </c>
      <c r="L8">
        <f t="shared" si="0"/>
        <v>2.5439999999999987</v>
      </c>
      <c r="M8">
        <f t="shared" si="1"/>
        <v>18.443999999999999</v>
      </c>
      <c r="N8" s="2" t="str">
        <f t="shared" si="2"/>
        <v xml:space="preserve">EXECUTE [dbo].[PG_CF_PRECIO] 0, 0,6, 'PRECIO GENERAL', 'PREGEN', 1,1,1,3,'2018-25-10','2018-25-11',15.9,2.544,18.444; </v>
      </c>
      <c r="R8" s="1"/>
      <c r="V8" s="2"/>
    </row>
    <row r="9" spans="2:22" x14ac:dyDescent="0.3">
      <c r="B9" s="3">
        <v>7</v>
      </c>
      <c r="C9" t="s">
        <v>13</v>
      </c>
      <c r="D9" t="s">
        <v>16</v>
      </c>
      <c r="E9">
        <v>1</v>
      </c>
      <c r="F9">
        <v>1</v>
      </c>
      <c r="G9" s="7">
        <v>3</v>
      </c>
      <c r="H9" s="7">
        <v>3</v>
      </c>
      <c r="I9" s="9">
        <v>43399</v>
      </c>
      <c r="J9" s="9">
        <v>43430</v>
      </c>
      <c r="K9">
        <v>17.899999999999999</v>
      </c>
      <c r="L9">
        <f t="shared" si="0"/>
        <v>2.8640000000000008</v>
      </c>
      <c r="M9">
        <f t="shared" si="1"/>
        <v>20.763999999999999</v>
      </c>
      <c r="N9" s="2" t="str">
        <f t="shared" si="2"/>
        <v xml:space="preserve">EXECUTE [dbo].[PG_CF_PRECIO] 0, 0,7, 'PRECIO LOCAL', 'PRELOC', 1,1,3,3,'2018-26-10','2018-26-11',17.9,2.864,20.764; </v>
      </c>
      <c r="R9" s="1"/>
      <c r="V9" s="2"/>
    </row>
    <row r="14" spans="2:22" x14ac:dyDescent="0.3">
      <c r="F14" s="8"/>
    </row>
    <row r="15" spans="2:22" x14ac:dyDescent="0.3">
      <c r="M15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EMPRESA</vt:lpstr>
      <vt:lpstr>PRECIO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FRANCISCO ESTEBAN</cp:lastModifiedBy>
  <dcterms:created xsi:type="dcterms:W3CDTF">2017-11-29T18:04:32Z</dcterms:created>
  <dcterms:modified xsi:type="dcterms:W3CDTF">2019-01-03T23:04:36Z</dcterms:modified>
</cp:coreProperties>
</file>