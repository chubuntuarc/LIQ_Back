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38" windowHeight="7598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" i="1"/>
  <c r="D9" i="1" l="1"/>
  <c r="D35" i="1" l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<sst xmlns="http://schemas.openxmlformats.org/spreadsheetml/2006/main" count="545" uniqueCount="123">
  <si>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</si>
  <si>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</si>
  <si>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</si>
  <si>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</si>
  <si>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</si>
  <si>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</si>
  <si>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</si>
  <si>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</si>
  <si>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</si>
  <si>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</si>
  <si>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</si>
  <si>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</si>
  <si>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</si>
  <si>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</si>
  <si>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</si>
  <si>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</si>
  <si>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</si>
  <si>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</si>
  <si>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</si>
  <si>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</si>
  <si>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</si>
  <si>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</si>
  <si>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</si>
  <si>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</si>
  <si>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</si>
  <si>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</si>
  <si>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</si>
  <si>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</si>
  <si>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</si>
  <si>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</si>
  <si>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</si>
  <si>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</si>
  <si>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</si>
  <si>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</si>
  <si>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</si>
  <si>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</si>
  <si>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</si>
  <si>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</si>
  <si>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</si>
  <si>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</si>
  <si>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</si>
  <si>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</si>
  <si>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</si>
  <si>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</si>
  <si>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</si>
  <si>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</si>
  <si>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</si>
  <si>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</si>
  <si>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</si>
  <si>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</si>
  <si>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</si>
  <si>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</si>
  <si>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</si>
  <si>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</si>
  <si>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</si>
  <si>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</si>
  <si>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</si>
  <si>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</si>
  <si>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</si>
  <si>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</si>
  <si>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</si>
  <si>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</si>
  <si>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</si>
  <si>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</si>
  <si>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</si>
  <si>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</si>
  <si>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</si>
  <si>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</si>
  <si>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</si>
  <si>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</si>
  <si>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</si>
  <si>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</si>
  <si>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</si>
  <si>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</si>
  <si>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</si>
  <si>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</si>
  <si>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</si>
  <si>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</si>
  <si>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</si>
  <si>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</si>
  <si>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</si>
  <si>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</si>
  <si>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</si>
  <si>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</si>
  <si>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</si>
  <si>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</si>
  <si>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</si>
  <si>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</si>
  <si>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</si>
  <si>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</si>
  <si>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</si>
  <si>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</si>
  <si>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</si>
  <si>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</si>
  <si>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</si>
  <si>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</si>
  <si>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</si>
  <si>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</si>
  <si>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</si>
  <si>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</si>
  <si>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</si>
  <si>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</si>
  <si>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</si>
  <si>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</si>
  <si>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</si>
  <si>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</si>
  <si>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</si>
  <si>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</si>
  <si>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</si>
  <si>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K_PRELIQUIDACION</t>
  </si>
  <si>
    <t>c129</t>
  </si>
  <si>
    <t>K_LIQUIDACION</t>
  </si>
  <si>
    <t>D_LIQUIDACION</t>
  </si>
  <si>
    <t>S_LIQUIDACION</t>
  </si>
  <si>
    <t>O_LIQUIDACION</t>
  </si>
  <si>
    <t>C_LIQUIDACION</t>
  </si>
  <si>
    <t>L_LIQUIDACION</t>
  </si>
  <si>
    <t>F_LIQUIDACION</t>
  </si>
  <si>
    <t>SUBTOTAL_LIQUIDACION</t>
  </si>
  <si>
    <t>IVA</t>
  </si>
  <si>
    <t>TOTAL</t>
  </si>
  <si>
    <t>K_ESTATUS_LIQUIDACION</t>
  </si>
  <si>
    <t>K_TIPO_LIQUIDACION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</si>
</sst>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/>
    <xf numFmtId="14" fontId="0" fillId="0" borderId="0" xfId="0" applyNumberFormat="1"/>
    <xf numFmtId="0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71"/>
  <sheetViews>
    <sheetView showGridLines="0" tabSelected="1" zoomScale="110" zoomScaleNormal="11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O3" sqref="O3:O35"/>
    </sheetView>
  </sheetViews>
  <sheetFormatPr baseColWidth="10" defaultRowHeight="14.25" x14ac:dyDescent="0.45"/>
  <cols>
    <col min="1" max="1" width="5.19921875" customWidth="1"/>
    <col min="2" max="2" width="17" style="3" bestFit="1" customWidth="1"/>
    <col min="3" max="3" width="17.06640625" bestFit="1" customWidth="1"/>
    <col min="4" max="4" width="16.796875" bestFit="1" customWidth="1"/>
    <col min="5" max="5" width="17.19921875" style="12" bestFit="1" customWidth="1"/>
    <col min="6" max="6" width="13.73046875" style="13" bestFit="1" customWidth="1"/>
    <col min="7" max="7" width="21.06640625" style="13" bestFit="1" customWidth="1"/>
    <col min="8" max="8" width="21.86328125" style="1" bestFit="1" customWidth="1"/>
    <col min="9" max="9" width="17" style="1" bestFit="1" customWidth="1"/>
    <col min="10" max="11" width="17" style="1" customWidth="1"/>
    <col min="12" max="12" width="21.3984375" style="1" bestFit="1" customWidth="1"/>
    <col min="13" max="13" width="3.59765625" style="1" bestFit="1" customWidth="1"/>
    <col min="14" max="14" width="5.9296875" style="1" bestFit="1" customWidth="1"/>
    <col min="15" max="15" width="122.1328125" bestFit="1" customWidth="1"/>
    <col min="17" max="17" width="28.53125" bestFit="1" customWidth="1"/>
    <col min="18" max="18" width="12" bestFit="1" customWidth="1"/>
    <col min="19" max="19" width="31.86328125" customWidth="1"/>
    <col min="20" max="20" width="13.86328125" bestFit="1" customWidth="1"/>
  </cols>
  <sheetData>
    <row r="2" spans="2:22" s="4" customFormat="1" x14ac:dyDescent="0.45">
      <c r="B2" s="3" t="s">
        <v>111</v>
      </c>
      <c r="C2" s="4" t="s">
        <v>112</v>
      </c>
      <c r="D2" s="4" t="s">
        <v>113</v>
      </c>
      <c r="E2" s="10" t="s">
        <v>114</v>
      </c>
      <c r="F2" s="11" t="s">
        <v>115</v>
      </c>
      <c r="G2" s="11" t="s">
        <v>116</v>
      </c>
      <c r="H2" s="5" t="s">
        <v>117</v>
      </c>
      <c r="I2" s="5" t="s">
        <v>109</v>
      </c>
      <c r="J2" s="5" t="s">
        <v>121</v>
      </c>
      <c r="K2" s="5" t="s">
        <v>122</v>
      </c>
      <c r="L2" s="5" t="s">
        <v>118</v>
      </c>
      <c r="M2" s="5" t="s">
        <v>119</v>
      </c>
      <c r="N2" s="5" t="s">
        <v>120</v>
      </c>
      <c r="V2" s="2"/>
    </row>
    <row r="3" spans="2:22" x14ac:dyDescent="0.45">
      <c r="B3" s="3">
        <v>1</v>
      </c>
      <c r="C3" t="s">
        <v>60</v>
      </c>
      <c r="D3" t="str">
        <f>LEFT(C3,3)</f>
        <v>BG3</v>
      </c>
      <c r="E3" s="12">
        <v>0</v>
      </c>
      <c r="F3" s="12"/>
      <c r="G3" s="17">
        <v>0</v>
      </c>
      <c r="H3" s="15">
        <v>43141</v>
      </c>
      <c r="I3" s="16">
        <v>1</v>
      </c>
      <c r="J3" s="16">
        <v>0</v>
      </c>
      <c r="K3" s="16">
        <v>1</v>
      </c>
      <c r="L3" s="16">
        <v>100</v>
      </c>
      <c r="M3" s="16">
        <f>L3*0.08</f>
        <v>8</v>
      </c>
      <c r="N3" s="8">
        <f>L3+M3</f>
        <v>108</v>
      </c>
      <c r="O3" s="2" t="str">
        <f>CONCATENATE("EXECUTE [dbo].[PG_CI_LIQUIDACION] 0,0,",B3,",'",C3,"','",D3,"',",E3,",'",F3,"',",G3,",'",TEXT(H4,"YYYY-MM-DD"),"',",J3,",",K3,",",I3,",",L3,",",M3,",",N3,"; ")</f>
        <v xml:space="preserve">EXECUTE [dbo].[PG_CI_LIQUIDACION] 0,0,1,'BG31','BG3',0,'',0,'YYYY-02-12',0,1,1,100,8,108; </v>
      </c>
      <c r="S3" s="6"/>
    </row>
    <row r="4" spans="2:22" x14ac:dyDescent="0.45">
      <c r="B4" s="3">
        <v>2</v>
      </c>
      <c r="C4" t="s">
        <v>60</v>
      </c>
      <c r="D4" t="str">
        <f t="shared" ref="D4:D7" si="0">LEFT(C4,3)</f>
        <v>BG3</v>
      </c>
      <c r="E4" s="12">
        <v>0</v>
      </c>
      <c r="F4" s="12"/>
      <c r="G4" s="17">
        <v>0</v>
      </c>
      <c r="H4" s="15">
        <v>43143</v>
      </c>
      <c r="I4" s="16">
        <v>2</v>
      </c>
      <c r="J4" s="16">
        <v>1</v>
      </c>
      <c r="K4" s="16">
        <v>2</v>
      </c>
      <c r="L4" s="16">
        <v>200</v>
      </c>
      <c r="M4" s="16">
        <f t="shared" ref="M4:M35" si="1">L4*0.08</f>
        <v>16</v>
      </c>
      <c r="N4" s="8">
        <f t="shared" ref="N4:N35" si="2">L4+M4</f>
        <v>216</v>
      </c>
      <c r="O4" s="2" t="str">
        <f t="shared" ref="O4:O35" si="3">CONCATENATE("EXECUTE [dbo].[PG_CI_LIQUIDACION] 0,0,",B4,",'",C4,"','",D4,"',",E4,",'",F4,"',",G4,",'",TEXT(H5,"YYYY-MM-DD"),"',",J4,",",K4,",",I4,",",L4,",",M4,",",N4,"; ")</f>
        <v xml:space="preserve">EXECUTE [dbo].[PG_CI_LIQUIDACION] 0,0,2,'BG31','BG3',0,'',0,'YYYY-02-13',1,2,2,200,16,216; </v>
      </c>
      <c r="S4" s="7"/>
    </row>
    <row r="5" spans="2:22" x14ac:dyDescent="0.45">
      <c r="B5" s="3">
        <v>3</v>
      </c>
      <c r="C5" t="s">
        <v>58</v>
      </c>
      <c r="D5" t="str">
        <f t="shared" si="0"/>
        <v>BG3</v>
      </c>
      <c r="E5" s="12">
        <v>0</v>
      </c>
      <c r="F5" s="12"/>
      <c r="G5" s="17">
        <v>0</v>
      </c>
      <c r="H5" s="15">
        <v>43144</v>
      </c>
      <c r="I5" s="16">
        <v>3</v>
      </c>
      <c r="J5" s="16">
        <v>0</v>
      </c>
      <c r="K5" s="16">
        <v>1</v>
      </c>
      <c r="L5" s="16">
        <v>300</v>
      </c>
      <c r="M5" s="16">
        <f t="shared" si="1"/>
        <v>24</v>
      </c>
      <c r="N5" s="8">
        <f t="shared" si="2"/>
        <v>324</v>
      </c>
      <c r="O5" s="2" t="str">
        <f t="shared" si="3"/>
        <v xml:space="preserve">EXECUTE [dbo].[PG_CI_LIQUIDACION] 0,0,3,'BG30','BG3',0,'',0,'YYYY-02-14',0,1,3,300,24,324; </v>
      </c>
    </row>
    <row r="6" spans="2:22" x14ac:dyDescent="0.45">
      <c r="B6" s="3">
        <v>4</v>
      </c>
      <c r="C6" t="s">
        <v>58</v>
      </c>
      <c r="D6" t="str">
        <f t="shared" si="0"/>
        <v>BG3</v>
      </c>
      <c r="E6" s="12">
        <v>0</v>
      </c>
      <c r="F6" s="12"/>
      <c r="G6" s="17">
        <v>0</v>
      </c>
      <c r="H6" s="15">
        <v>43145</v>
      </c>
      <c r="I6" s="16">
        <v>4</v>
      </c>
      <c r="J6" s="16">
        <v>1</v>
      </c>
      <c r="K6" s="16">
        <v>2</v>
      </c>
      <c r="L6" s="16">
        <v>400</v>
      </c>
      <c r="M6" s="16">
        <f t="shared" si="1"/>
        <v>32</v>
      </c>
      <c r="N6" s="8">
        <f t="shared" si="2"/>
        <v>432</v>
      </c>
      <c r="O6" s="2" t="str">
        <f t="shared" si="3"/>
        <v xml:space="preserve">EXECUTE [dbo].[PG_CI_LIQUIDACION] 0,0,4,'BG30','BG3',0,'',0,'YYYY-02-15',1,2,4,400,32,432; </v>
      </c>
    </row>
    <row r="7" spans="2:22" x14ac:dyDescent="0.45">
      <c r="B7" s="3">
        <v>5</v>
      </c>
      <c r="C7" t="s">
        <v>5</v>
      </c>
      <c r="D7" t="str">
        <f t="shared" si="0"/>
        <v>BE2</v>
      </c>
      <c r="E7" s="12">
        <v>0</v>
      </c>
      <c r="F7" s="12"/>
      <c r="G7" s="17">
        <v>0</v>
      </c>
      <c r="H7" s="15">
        <v>43146</v>
      </c>
      <c r="I7" s="16">
        <v>5</v>
      </c>
      <c r="J7" s="16">
        <v>0</v>
      </c>
      <c r="K7" s="16">
        <v>1</v>
      </c>
      <c r="L7" s="16">
        <v>500</v>
      </c>
      <c r="M7" s="16">
        <f t="shared" si="1"/>
        <v>40</v>
      </c>
      <c r="N7" s="8">
        <f t="shared" si="2"/>
        <v>540</v>
      </c>
      <c r="O7" s="2" t="str">
        <f t="shared" si="3"/>
        <v xml:space="preserve">EXECUTE [dbo].[PG_CI_LIQUIDACION] 0,0,5,'BE201','BE2',0,'',0,'YYYY-02-17',0,1,5,500,40,540; </v>
      </c>
    </row>
    <row r="8" spans="2:22" x14ac:dyDescent="0.45">
      <c r="B8" s="3">
        <v>6</v>
      </c>
      <c r="C8" t="s">
        <v>5</v>
      </c>
      <c r="D8" t="str">
        <f t="shared" ref="D8:D9" si="4">LEFT(C8,3)</f>
        <v>BE2</v>
      </c>
      <c r="E8" s="12">
        <v>0</v>
      </c>
      <c r="F8" s="12"/>
      <c r="G8" s="17">
        <v>0</v>
      </c>
      <c r="H8" s="15">
        <v>43148</v>
      </c>
      <c r="I8" s="16">
        <v>6</v>
      </c>
      <c r="J8" s="16">
        <v>1</v>
      </c>
      <c r="K8" s="16">
        <v>2</v>
      </c>
      <c r="L8" s="16">
        <v>600</v>
      </c>
      <c r="M8" s="16">
        <f t="shared" si="1"/>
        <v>48</v>
      </c>
      <c r="N8" s="8">
        <f t="shared" si="2"/>
        <v>648</v>
      </c>
      <c r="O8" s="2" t="str">
        <f t="shared" si="3"/>
        <v xml:space="preserve">EXECUTE [dbo].[PG_CI_LIQUIDACION] 0,0,6,'BE201','BE2',0,'',0,'YYYY-02-05',1,2,6,600,48,648; </v>
      </c>
    </row>
    <row r="9" spans="2:22" x14ac:dyDescent="0.45">
      <c r="B9" s="3">
        <v>7</v>
      </c>
      <c r="C9" t="s">
        <v>26</v>
      </c>
      <c r="D9" t="str">
        <f t="shared" si="4"/>
        <v>BE0</v>
      </c>
      <c r="E9" s="12">
        <v>0</v>
      </c>
      <c r="F9" s="12"/>
      <c r="G9" s="17">
        <v>0</v>
      </c>
      <c r="H9" s="15">
        <v>43136</v>
      </c>
      <c r="I9" s="16">
        <v>7</v>
      </c>
      <c r="J9" s="16">
        <v>0</v>
      </c>
      <c r="K9" s="16">
        <v>1</v>
      </c>
      <c r="L9" s="16">
        <v>700</v>
      </c>
      <c r="M9" s="16">
        <f t="shared" si="1"/>
        <v>56</v>
      </c>
      <c r="N9" s="8">
        <f t="shared" si="2"/>
        <v>756</v>
      </c>
      <c r="O9" s="2" t="str">
        <f t="shared" si="3"/>
        <v xml:space="preserve">EXECUTE [dbo].[PG_CI_LIQUIDACION] 0,0,7,'BE05','BE0',0,'',0,'YYYY-02-07',0,1,7,700,56,756; </v>
      </c>
      <c r="S9" s="14"/>
    </row>
    <row r="10" spans="2:22" x14ac:dyDescent="0.45">
      <c r="B10" s="3">
        <v>8</v>
      </c>
      <c r="C10" t="s">
        <v>26</v>
      </c>
      <c r="D10" t="str">
        <f>LEFT(C10,3)</f>
        <v>BE0</v>
      </c>
      <c r="E10" s="12">
        <v>0</v>
      </c>
      <c r="F10" s="12"/>
      <c r="G10" s="17">
        <v>0</v>
      </c>
      <c r="H10" s="15">
        <v>43138</v>
      </c>
      <c r="I10" s="16">
        <v>8</v>
      </c>
      <c r="J10" s="16">
        <v>1</v>
      </c>
      <c r="K10" s="16">
        <v>2</v>
      </c>
      <c r="L10" s="16">
        <v>800</v>
      </c>
      <c r="M10" s="16">
        <f t="shared" si="1"/>
        <v>64</v>
      </c>
      <c r="N10" s="8">
        <f t="shared" si="2"/>
        <v>864</v>
      </c>
      <c r="O10" s="2" t="str">
        <f t="shared" si="3"/>
        <v xml:space="preserve">EXECUTE [dbo].[PG_CI_LIQUIDACION] 0,0,8,'BE05','BE0',0,'',0,'YYYY-02-09',1,2,8,800,64,864; </v>
      </c>
    </row>
    <row r="11" spans="2:22" x14ac:dyDescent="0.45">
      <c r="B11" s="3">
        <v>9</v>
      </c>
      <c r="C11" t="s">
        <v>38</v>
      </c>
      <c r="D11" t="str">
        <f t="shared" ref="D11:D14" si="5">LEFT(C11,3)</f>
        <v>BG1</v>
      </c>
      <c r="E11" s="12">
        <v>0</v>
      </c>
      <c r="F11" s="12"/>
      <c r="G11" s="17">
        <v>0</v>
      </c>
      <c r="H11" s="15">
        <v>43140</v>
      </c>
      <c r="I11" s="16">
        <v>9</v>
      </c>
      <c r="J11" s="16">
        <v>0</v>
      </c>
      <c r="K11" s="16">
        <v>1</v>
      </c>
      <c r="L11" s="16">
        <v>900</v>
      </c>
      <c r="M11" s="16">
        <f t="shared" si="1"/>
        <v>72</v>
      </c>
      <c r="N11" s="8">
        <f t="shared" si="2"/>
        <v>972</v>
      </c>
      <c r="O11" s="2" t="str">
        <f t="shared" si="3"/>
        <v xml:space="preserve">EXECUTE [dbo].[PG_CI_LIQUIDACION] 0,0,9,'BG10','BG1',0,'',0,'YYYY-02-10',0,1,9,900,72,972; </v>
      </c>
    </row>
    <row r="12" spans="2:22" x14ac:dyDescent="0.45">
      <c r="B12" s="3">
        <v>10</v>
      </c>
      <c r="C12" t="s">
        <v>38</v>
      </c>
      <c r="D12" t="str">
        <f t="shared" si="5"/>
        <v>BG1</v>
      </c>
      <c r="E12" s="12">
        <v>0</v>
      </c>
      <c r="F12" s="12"/>
      <c r="G12" s="17">
        <v>0</v>
      </c>
      <c r="H12" s="15">
        <v>43141</v>
      </c>
      <c r="I12" s="16">
        <v>10</v>
      </c>
      <c r="J12" s="16">
        <v>1</v>
      </c>
      <c r="K12" s="16">
        <v>2</v>
      </c>
      <c r="L12" s="16">
        <v>1000</v>
      </c>
      <c r="M12" s="16">
        <f t="shared" si="1"/>
        <v>80</v>
      </c>
      <c r="N12" s="8">
        <f t="shared" si="2"/>
        <v>1080</v>
      </c>
      <c r="O12" s="2" t="str">
        <f t="shared" si="3"/>
        <v xml:space="preserve">EXECUTE [dbo].[PG_CI_LIQUIDACION] 0,0,10,'BG10','BG1',0,'',0,'YYYY-02-11',1,2,10,1000,80,1080; </v>
      </c>
    </row>
    <row r="13" spans="2:22" x14ac:dyDescent="0.45">
      <c r="B13" s="3">
        <v>11</v>
      </c>
      <c r="C13" t="s">
        <v>48</v>
      </c>
      <c r="D13" t="str">
        <f t="shared" si="5"/>
        <v>BG2</v>
      </c>
      <c r="E13" s="12">
        <v>0</v>
      </c>
      <c r="F13" s="12"/>
      <c r="G13" s="17">
        <v>0</v>
      </c>
      <c r="H13" s="15">
        <v>43142</v>
      </c>
      <c r="I13" s="16">
        <v>11</v>
      </c>
      <c r="J13" s="16">
        <v>0</v>
      </c>
      <c r="K13" s="16">
        <v>1</v>
      </c>
      <c r="L13" s="16">
        <v>1100</v>
      </c>
      <c r="M13" s="16">
        <f t="shared" si="1"/>
        <v>88</v>
      </c>
      <c r="N13" s="8">
        <f t="shared" si="2"/>
        <v>1188</v>
      </c>
      <c r="O13" s="2" t="str">
        <f t="shared" si="3"/>
        <v xml:space="preserve">EXECUTE [dbo].[PG_CI_LIQUIDACION] 0,0,11,'BG20','BG2',0,'',0,'YYYY-02-12',0,1,11,1100,88,1188; </v>
      </c>
    </row>
    <row r="14" spans="2:22" x14ac:dyDescent="0.45">
      <c r="B14" s="3">
        <v>12</v>
      </c>
      <c r="C14" t="s">
        <v>48</v>
      </c>
      <c r="D14" t="str">
        <f t="shared" si="5"/>
        <v>BG2</v>
      </c>
      <c r="E14" s="12">
        <v>0</v>
      </c>
      <c r="F14" s="12"/>
      <c r="G14" s="17">
        <v>0</v>
      </c>
      <c r="H14" s="15">
        <v>43143</v>
      </c>
      <c r="I14" s="16">
        <v>12</v>
      </c>
      <c r="J14" s="16">
        <v>1</v>
      </c>
      <c r="K14" s="16">
        <v>2</v>
      </c>
      <c r="L14" s="16">
        <v>1200</v>
      </c>
      <c r="M14" s="16">
        <f t="shared" si="1"/>
        <v>96</v>
      </c>
      <c r="N14" s="8">
        <f t="shared" si="2"/>
        <v>1296</v>
      </c>
      <c r="O14" s="2" t="str">
        <f t="shared" si="3"/>
        <v xml:space="preserve">EXECUTE [dbo].[PG_CI_LIQUIDACION] 0,0,12,'BG20','BG2',0,'',0,'YYYY-03-10',1,2,12,1200,96,1296; </v>
      </c>
    </row>
    <row r="15" spans="2:22" x14ac:dyDescent="0.45">
      <c r="B15" s="3">
        <v>13</v>
      </c>
      <c r="C15" t="s">
        <v>40</v>
      </c>
      <c r="D15" t="str">
        <f t="shared" ref="D15:D16" si="6">LEFT(C15,3)</f>
        <v>BG1</v>
      </c>
      <c r="E15" s="12">
        <v>0</v>
      </c>
      <c r="F15" s="12"/>
      <c r="G15" s="17">
        <v>0</v>
      </c>
      <c r="H15" s="15">
        <v>43169</v>
      </c>
      <c r="I15" s="16">
        <v>13</v>
      </c>
      <c r="J15" s="16">
        <v>0</v>
      </c>
      <c r="K15" s="16">
        <v>1</v>
      </c>
      <c r="L15" s="16">
        <v>1300</v>
      </c>
      <c r="M15" s="16">
        <f t="shared" si="1"/>
        <v>104</v>
      </c>
      <c r="N15" s="8">
        <f t="shared" si="2"/>
        <v>1404</v>
      </c>
      <c r="O15" s="2" t="str">
        <f t="shared" si="3"/>
        <v xml:space="preserve">EXECUTE [dbo].[PG_CI_LIQUIDACION] 0,0,13,'BG11','BG1',0,'',0,'YYYY-03-11',0,1,13,1300,104,1404; </v>
      </c>
    </row>
    <row r="16" spans="2:22" x14ac:dyDescent="0.45">
      <c r="B16" s="3">
        <v>14</v>
      </c>
      <c r="C16" t="s">
        <v>40</v>
      </c>
      <c r="D16" t="str">
        <f t="shared" si="6"/>
        <v>BG1</v>
      </c>
      <c r="E16" s="12">
        <v>0</v>
      </c>
      <c r="F16" s="12"/>
      <c r="G16" s="17">
        <v>0</v>
      </c>
      <c r="H16" s="15">
        <v>43170</v>
      </c>
      <c r="I16" s="16">
        <v>14</v>
      </c>
      <c r="J16" s="16">
        <v>1</v>
      </c>
      <c r="K16" s="16">
        <v>2</v>
      </c>
      <c r="L16" s="16">
        <v>1400</v>
      </c>
      <c r="M16" s="16">
        <f t="shared" si="1"/>
        <v>112</v>
      </c>
      <c r="N16" s="8">
        <f t="shared" si="2"/>
        <v>1512</v>
      </c>
      <c r="O16" s="2" t="str">
        <f t="shared" si="3"/>
        <v xml:space="preserve">EXECUTE [dbo].[PG_CI_LIQUIDACION] 0,0,14,'BG11','BG1',0,'',0,'YYYY-03-13',1,2,14,1400,112,1512; </v>
      </c>
    </row>
    <row r="17" spans="2:15" x14ac:dyDescent="0.45">
      <c r="B17" s="3">
        <v>15</v>
      </c>
      <c r="C17" t="s">
        <v>36</v>
      </c>
      <c r="D17" t="str">
        <f>LEFT(C17,3)</f>
        <v>BG0</v>
      </c>
      <c r="E17" s="12">
        <v>0</v>
      </c>
      <c r="F17" s="12"/>
      <c r="G17" s="17">
        <v>0</v>
      </c>
      <c r="H17" s="15">
        <v>43172</v>
      </c>
      <c r="I17" s="16">
        <v>15</v>
      </c>
      <c r="J17" s="16">
        <v>0</v>
      </c>
      <c r="K17" s="16">
        <v>1</v>
      </c>
      <c r="L17" s="16">
        <v>1500</v>
      </c>
      <c r="M17" s="16">
        <f t="shared" si="1"/>
        <v>120</v>
      </c>
      <c r="N17" s="8">
        <f t="shared" si="2"/>
        <v>1620</v>
      </c>
      <c r="O17" s="2" t="str">
        <f t="shared" si="3"/>
        <v xml:space="preserve">EXECUTE [dbo].[PG_CI_LIQUIDACION] 0,0,15,'BG09','BG0',0,'',0,'YYYY-03-15',0,1,15,1500,120,1620; </v>
      </c>
    </row>
    <row r="18" spans="2:15" x14ac:dyDescent="0.45">
      <c r="B18" s="3">
        <v>16</v>
      </c>
      <c r="C18" t="s">
        <v>36</v>
      </c>
      <c r="D18" t="str">
        <f t="shared" ref="D18:D21" si="7">LEFT(C18,3)</f>
        <v>BG0</v>
      </c>
      <c r="E18" s="12">
        <v>0</v>
      </c>
      <c r="F18" s="12"/>
      <c r="G18" s="17">
        <v>0</v>
      </c>
      <c r="H18" s="15">
        <v>43174</v>
      </c>
      <c r="I18" s="16">
        <v>16</v>
      </c>
      <c r="J18" s="16">
        <v>1</v>
      </c>
      <c r="K18" s="16">
        <v>2</v>
      </c>
      <c r="L18" s="16">
        <v>1600</v>
      </c>
      <c r="M18" s="16">
        <f t="shared" si="1"/>
        <v>128</v>
      </c>
      <c r="N18" s="8">
        <f t="shared" si="2"/>
        <v>1728</v>
      </c>
      <c r="O18" s="2" t="str">
        <f t="shared" si="3"/>
        <v xml:space="preserve">EXECUTE [dbo].[PG_CI_LIQUIDACION] 0,0,16,'BG09','BG0',0,'',0,'YYYY-03-16',1,2,16,1600,128,1728; </v>
      </c>
    </row>
    <row r="19" spans="2:15" x14ac:dyDescent="0.45">
      <c r="B19" s="3">
        <v>17</v>
      </c>
      <c r="C19" t="s">
        <v>94</v>
      </c>
      <c r="D19" t="str">
        <f t="shared" si="7"/>
        <v>C02</v>
      </c>
      <c r="E19" s="12">
        <v>0</v>
      </c>
      <c r="F19" s="12"/>
      <c r="G19" s="17">
        <v>0</v>
      </c>
      <c r="H19" s="15">
        <v>43175</v>
      </c>
      <c r="I19" s="16">
        <v>17</v>
      </c>
      <c r="J19" s="16">
        <v>0</v>
      </c>
      <c r="K19" s="16">
        <v>1</v>
      </c>
      <c r="L19" s="16">
        <v>1700</v>
      </c>
      <c r="M19" s="16">
        <f t="shared" si="1"/>
        <v>136</v>
      </c>
      <c r="N19" s="8">
        <f t="shared" si="2"/>
        <v>1836</v>
      </c>
      <c r="O19" s="2" t="str">
        <f t="shared" si="3"/>
        <v xml:space="preserve">EXECUTE [dbo].[PG_CI_LIQUIDACION] 0,0,17,'C02','C02',0,'',0,'YYYY-03-17',0,1,17,1700,136,1836; </v>
      </c>
    </row>
    <row r="20" spans="2:15" x14ac:dyDescent="0.45">
      <c r="B20" s="3">
        <v>18</v>
      </c>
      <c r="C20" t="s">
        <v>94</v>
      </c>
      <c r="D20" t="str">
        <f t="shared" si="7"/>
        <v>C02</v>
      </c>
      <c r="E20" s="12">
        <v>0</v>
      </c>
      <c r="F20" s="12"/>
      <c r="G20" s="17">
        <v>0</v>
      </c>
      <c r="H20" s="15">
        <v>43176</v>
      </c>
      <c r="I20" s="16">
        <v>18</v>
      </c>
      <c r="J20" s="16">
        <v>1</v>
      </c>
      <c r="K20" s="16">
        <v>2</v>
      </c>
      <c r="L20" s="16">
        <v>1800</v>
      </c>
      <c r="M20" s="16">
        <f t="shared" si="1"/>
        <v>144</v>
      </c>
      <c r="N20" s="8">
        <f t="shared" si="2"/>
        <v>1944</v>
      </c>
      <c r="O20" s="2" t="str">
        <f t="shared" si="3"/>
        <v xml:space="preserve">EXECUTE [dbo].[PG_CI_LIQUIDACION] 0,0,18,'C02','C02',0,'',0,'YYYY-03-18',1,2,18,1800,144,1944; </v>
      </c>
    </row>
    <row r="21" spans="2:15" x14ac:dyDescent="0.45">
      <c r="B21" s="3">
        <v>19</v>
      </c>
      <c r="C21" t="s">
        <v>80</v>
      </c>
      <c r="D21" t="str">
        <f t="shared" si="7"/>
        <v>C12</v>
      </c>
      <c r="E21" s="12">
        <v>0</v>
      </c>
      <c r="F21" s="12"/>
      <c r="G21" s="17">
        <v>0</v>
      </c>
      <c r="H21" s="15">
        <v>43177</v>
      </c>
      <c r="I21" s="16">
        <v>19</v>
      </c>
      <c r="J21" s="16">
        <v>0</v>
      </c>
      <c r="K21" s="16">
        <v>1</v>
      </c>
      <c r="L21" s="16">
        <v>1900</v>
      </c>
      <c r="M21" s="16">
        <f t="shared" si="1"/>
        <v>152</v>
      </c>
      <c r="N21" s="8">
        <f t="shared" si="2"/>
        <v>2052</v>
      </c>
      <c r="O21" s="2" t="str">
        <f t="shared" si="3"/>
        <v xml:space="preserve">EXECUTE [dbo].[PG_CI_LIQUIDACION] 0,0,19,'C126','C12',0,'',0,'YYYY-04-20',0,1,19,1900,152,2052; </v>
      </c>
    </row>
    <row r="22" spans="2:15" x14ac:dyDescent="0.45">
      <c r="B22" s="3">
        <v>20</v>
      </c>
      <c r="C22" t="s">
        <v>80</v>
      </c>
      <c r="D22" t="str">
        <f t="shared" ref="D22:D23" si="8">LEFT(C22,3)</f>
        <v>C12</v>
      </c>
      <c r="E22" s="12">
        <v>0</v>
      </c>
      <c r="F22" s="12"/>
      <c r="G22" s="17">
        <v>0</v>
      </c>
      <c r="H22" s="15">
        <v>43210</v>
      </c>
      <c r="I22" s="16">
        <v>20</v>
      </c>
      <c r="J22" s="16">
        <v>1</v>
      </c>
      <c r="K22" s="16">
        <v>2</v>
      </c>
      <c r="L22" s="16">
        <v>2000</v>
      </c>
      <c r="M22" s="16">
        <f t="shared" si="1"/>
        <v>160</v>
      </c>
      <c r="N22" s="8">
        <f t="shared" si="2"/>
        <v>2160</v>
      </c>
      <c r="O22" s="2" t="str">
        <f t="shared" si="3"/>
        <v xml:space="preserve">EXECUTE [dbo].[PG_CI_LIQUIDACION] 0,0,20,'C126','C12',0,'',0,'YYYY-04-21',1,2,20,2000,160,2160; </v>
      </c>
    </row>
    <row r="23" spans="2:15" x14ac:dyDescent="0.45">
      <c r="B23" s="3">
        <v>21</v>
      </c>
      <c r="C23" t="s">
        <v>110</v>
      </c>
      <c r="D23" t="str">
        <f t="shared" si="8"/>
        <v>c12</v>
      </c>
      <c r="E23" s="12">
        <v>0</v>
      </c>
      <c r="F23" s="12"/>
      <c r="G23" s="17">
        <v>0</v>
      </c>
      <c r="H23" s="15">
        <v>43211</v>
      </c>
      <c r="I23" s="16">
        <v>21</v>
      </c>
      <c r="J23" s="16">
        <v>0</v>
      </c>
      <c r="K23" s="16">
        <v>1</v>
      </c>
      <c r="L23" s="16">
        <v>2100</v>
      </c>
      <c r="M23" s="16">
        <f t="shared" si="1"/>
        <v>168</v>
      </c>
      <c r="N23" s="8">
        <f t="shared" si="2"/>
        <v>2268</v>
      </c>
      <c r="O23" s="2" t="str">
        <f t="shared" si="3"/>
        <v xml:space="preserve">EXECUTE [dbo].[PG_CI_LIQUIDACION] 0,0,21,'c129','c12',0,'',0,'YYYY-04-23',0,1,21,2100,168,2268; </v>
      </c>
    </row>
    <row r="24" spans="2:15" x14ac:dyDescent="0.45">
      <c r="B24" s="3">
        <v>22</v>
      </c>
      <c r="C24" t="s">
        <v>110</v>
      </c>
      <c r="D24" t="str">
        <f>LEFT(C24,3)</f>
        <v>c12</v>
      </c>
      <c r="E24" s="12">
        <v>0</v>
      </c>
      <c r="F24" s="12"/>
      <c r="G24" s="17">
        <v>0</v>
      </c>
      <c r="H24" s="15">
        <v>43213</v>
      </c>
      <c r="I24" s="16">
        <v>22</v>
      </c>
      <c r="J24" s="16">
        <v>1</v>
      </c>
      <c r="K24" s="16">
        <v>2</v>
      </c>
      <c r="L24" s="16">
        <v>2200</v>
      </c>
      <c r="M24" s="16">
        <f t="shared" si="1"/>
        <v>176</v>
      </c>
      <c r="N24" s="8">
        <f t="shared" si="2"/>
        <v>2376</v>
      </c>
      <c r="O24" s="2" t="str">
        <f t="shared" si="3"/>
        <v xml:space="preserve">EXECUTE [dbo].[PG_CI_LIQUIDACION] 0,0,22,'c129','c12',0,'',0,'YYYY-04-25',1,2,22,2200,176,2376; </v>
      </c>
    </row>
    <row r="25" spans="2:15" x14ac:dyDescent="0.45">
      <c r="B25" s="3">
        <v>23</v>
      </c>
      <c r="C25" t="s">
        <v>38</v>
      </c>
      <c r="D25" t="str">
        <f t="shared" ref="D25:D28" si="9">LEFT(C25,3)</f>
        <v>BG1</v>
      </c>
      <c r="E25" s="12">
        <v>0</v>
      </c>
      <c r="F25" s="12"/>
      <c r="G25" s="17">
        <v>0</v>
      </c>
      <c r="H25" s="15">
        <v>43215</v>
      </c>
      <c r="I25" s="16">
        <v>23</v>
      </c>
      <c r="J25" s="16">
        <v>0</v>
      </c>
      <c r="K25" s="16">
        <v>1</v>
      </c>
      <c r="L25" s="16">
        <v>2300</v>
      </c>
      <c r="M25" s="16">
        <f t="shared" si="1"/>
        <v>184</v>
      </c>
      <c r="N25" s="8">
        <f t="shared" si="2"/>
        <v>2484</v>
      </c>
      <c r="O25" s="2" t="str">
        <f t="shared" si="3"/>
        <v xml:space="preserve">EXECUTE [dbo].[PG_CI_LIQUIDACION] 0,0,23,'BG10','BG1',0,'',0,'YYYY-05-06',0,1,23,2300,184,2484; </v>
      </c>
    </row>
    <row r="26" spans="2:15" x14ac:dyDescent="0.45">
      <c r="B26" s="3">
        <v>24</v>
      </c>
      <c r="C26" t="s">
        <v>38</v>
      </c>
      <c r="D26" t="str">
        <f t="shared" si="9"/>
        <v>BG1</v>
      </c>
      <c r="E26" s="12">
        <v>0</v>
      </c>
      <c r="F26" s="12"/>
      <c r="G26" s="17">
        <v>0</v>
      </c>
      <c r="H26" s="15">
        <v>43226</v>
      </c>
      <c r="I26" s="16">
        <v>24</v>
      </c>
      <c r="J26" s="16">
        <v>1</v>
      </c>
      <c r="K26" s="16">
        <v>2</v>
      </c>
      <c r="L26" s="16">
        <v>2400</v>
      </c>
      <c r="M26" s="16">
        <f t="shared" si="1"/>
        <v>192</v>
      </c>
      <c r="N26" s="8">
        <f t="shared" si="2"/>
        <v>2592</v>
      </c>
      <c r="O26" s="2" t="str">
        <f t="shared" si="3"/>
        <v xml:space="preserve">EXECUTE [dbo].[PG_CI_LIQUIDACION] 0,0,24,'BG10','BG1',0,'',0,'YYYY-05-07',1,2,24,2400,192,2592; </v>
      </c>
    </row>
    <row r="27" spans="2:15" x14ac:dyDescent="0.45">
      <c r="B27" s="3">
        <v>25</v>
      </c>
      <c r="C27" t="s">
        <v>36</v>
      </c>
      <c r="D27" t="str">
        <f t="shared" si="9"/>
        <v>BG0</v>
      </c>
      <c r="E27" s="12">
        <v>0</v>
      </c>
      <c r="F27" s="12"/>
      <c r="G27" s="17">
        <v>0</v>
      </c>
      <c r="H27" s="15">
        <v>43227</v>
      </c>
      <c r="I27" s="16">
        <v>25</v>
      </c>
      <c r="J27" s="16">
        <v>0</v>
      </c>
      <c r="K27" s="16">
        <v>1</v>
      </c>
      <c r="L27" s="16">
        <v>2500</v>
      </c>
      <c r="M27" s="16">
        <f t="shared" si="1"/>
        <v>200</v>
      </c>
      <c r="N27" s="8">
        <f t="shared" si="2"/>
        <v>2700</v>
      </c>
      <c r="O27" s="2" t="str">
        <f t="shared" si="3"/>
        <v xml:space="preserve">EXECUTE [dbo].[PG_CI_LIQUIDACION] 0,0,25,'BG09','BG0',0,'',0,'YYYY-05-08',0,1,25,2500,200,2700; </v>
      </c>
    </row>
    <row r="28" spans="2:15" x14ac:dyDescent="0.45">
      <c r="B28" s="3">
        <v>26</v>
      </c>
      <c r="C28" t="s">
        <v>36</v>
      </c>
      <c r="D28" t="str">
        <f t="shared" si="9"/>
        <v>BG0</v>
      </c>
      <c r="E28" s="12">
        <v>0</v>
      </c>
      <c r="F28" s="12"/>
      <c r="G28" s="17">
        <v>0</v>
      </c>
      <c r="H28" s="15">
        <v>43228</v>
      </c>
      <c r="I28" s="16">
        <v>26</v>
      </c>
      <c r="J28" s="16">
        <v>1</v>
      </c>
      <c r="K28" s="16">
        <v>2</v>
      </c>
      <c r="L28" s="16">
        <v>2600</v>
      </c>
      <c r="M28" s="16">
        <f t="shared" si="1"/>
        <v>208</v>
      </c>
      <c r="N28" s="8">
        <f t="shared" si="2"/>
        <v>2808</v>
      </c>
      <c r="O28" s="2" t="str">
        <f t="shared" si="3"/>
        <v xml:space="preserve">EXECUTE [dbo].[PG_CI_LIQUIDACION] 0,0,26,'BG09','BG0',0,'',0,'YYYY-05-10',1,2,26,2600,208,2808; </v>
      </c>
    </row>
    <row r="29" spans="2:15" x14ac:dyDescent="0.45">
      <c r="B29" s="3">
        <v>27</v>
      </c>
      <c r="C29" t="s">
        <v>26</v>
      </c>
      <c r="D29" t="str">
        <f t="shared" ref="D29:D30" si="10">LEFT(C29,3)</f>
        <v>BE0</v>
      </c>
      <c r="E29" s="12">
        <v>0</v>
      </c>
      <c r="F29" s="12"/>
      <c r="G29" s="17">
        <v>0</v>
      </c>
      <c r="H29" s="15">
        <v>43230</v>
      </c>
      <c r="I29" s="16">
        <v>27</v>
      </c>
      <c r="J29" s="16">
        <v>0</v>
      </c>
      <c r="K29" s="16">
        <v>1</v>
      </c>
      <c r="L29" s="16">
        <v>2700</v>
      </c>
      <c r="M29" s="16">
        <f t="shared" si="1"/>
        <v>216</v>
      </c>
      <c r="N29" s="8">
        <f t="shared" si="2"/>
        <v>2916</v>
      </c>
      <c r="O29" s="2" t="str">
        <f t="shared" si="3"/>
        <v xml:space="preserve">EXECUTE [dbo].[PG_CI_LIQUIDACION] 0,0,27,'BE05','BE0',0,'',0,'YYYY-05-11',0,1,27,2700,216,2916; </v>
      </c>
    </row>
    <row r="30" spans="2:15" x14ac:dyDescent="0.45">
      <c r="B30" s="3">
        <v>28</v>
      </c>
      <c r="C30" t="s">
        <v>26</v>
      </c>
      <c r="D30" t="str">
        <f t="shared" si="10"/>
        <v>BE0</v>
      </c>
      <c r="E30" s="12">
        <v>0</v>
      </c>
      <c r="F30" s="12"/>
      <c r="G30" s="17">
        <v>0</v>
      </c>
      <c r="H30" s="15">
        <v>43231</v>
      </c>
      <c r="I30" s="16">
        <v>28</v>
      </c>
      <c r="J30" s="16">
        <v>1</v>
      </c>
      <c r="K30" s="16">
        <v>2</v>
      </c>
      <c r="L30" s="16">
        <v>2800</v>
      </c>
      <c r="M30" s="16">
        <f t="shared" si="1"/>
        <v>224</v>
      </c>
      <c r="N30" s="8">
        <f t="shared" si="2"/>
        <v>3024</v>
      </c>
      <c r="O30" s="2" t="str">
        <f t="shared" si="3"/>
        <v xml:space="preserve">EXECUTE [dbo].[PG_CI_LIQUIDACION] 0,0,28,'BE05','BE0',0,'',0,'YYYY-07-13',1,2,28,2800,224,3024; </v>
      </c>
    </row>
    <row r="31" spans="2:15" x14ac:dyDescent="0.45">
      <c r="B31" s="3">
        <v>29</v>
      </c>
      <c r="C31" t="s">
        <v>80</v>
      </c>
      <c r="D31" t="str">
        <f>LEFT(C31,3)</f>
        <v>C12</v>
      </c>
      <c r="E31" s="12">
        <v>0</v>
      </c>
      <c r="F31" s="12"/>
      <c r="G31" s="17">
        <v>0</v>
      </c>
      <c r="H31" s="15">
        <v>43294</v>
      </c>
      <c r="I31" s="16">
        <v>29</v>
      </c>
      <c r="J31" s="16">
        <v>0</v>
      </c>
      <c r="K31" s="16">
        <v>1</v>
      </c>
      <c r="L31" s="16">
        <v>2900</v>
      </c>
      <c r="M31" s="16">
        <f t="shared" si="1"/>
        <v>232</v>
      </c>
      <c r="N31" s="8">
        <f t="shared" si="2"/>
        <v>3132</v>
      </c>
      <c r="O31" s="2" t="str">
        <f t="shared" si="3"/>
        <v xml:space="preserve">EXECUTE [dbo].[PG_CI_LIQUIDACION] 0,0,29,'C126','C12',0,'',0,'YYYY-07-15',0,1,29,2900,232,3132; </v>
      </c>
    </row>
    <row r="32" spans="2:15" x14ac:dyDescent="0.45">
      <c r="B32" s="3">
        <v>30</v>
      </c>
      <c r="C32" t="s">
        <v>80</v>
      </c>
      <c r="D32" t="str">
        <f t="shared" ref="D32:D35" si="11">LEFT(C32,3)</f>
        <v>C12</v>
      </c>
      <c r="E32" s="12">
        <v>0</v>
      </c>
      <c r="F32" s="12"/>
      <c r="G32" s="17">
        <v>0</v>
      </c>
      <c r="H32" s="15">
        <v>43296</v>
      </c>
      <c r="I32" s="16">
        <v>30</v>
      </c>
      <c r="J32" s="16">
        <v>1</v>
      </c>
      <c r="K32" s="16">
        <v>2</v>
      </c>
      <c r="L32" s="16">
        <v>3000</v>
      </c>
      <c r="M32" s="16">
        <f t="shared" si="1"/>
        <v>240</v>
      </c>
      <c r="N32" s="8">
        <f t="shared" si="2"/>
        <v>3240</v>
      </c>
      <c r="O32" s="2" t="str">
        <f t="shared" si="3"/>
        <v xml:space="preserve">EXECUTE [dbo].[PG_CI_LIQUIDACION] 0,0,30,'C126','C12',0,'',0,'YYYY-07-16',1,2,30,3000,240,3240; </v>
      </c>
    </row>
    <row r="33" spans="2:15" x14ac:dyDescent="0.45">
      <c r="B33" s="3">
        <v>31</v>
      </c>
      <c r="C33" t="s">
        <v>18</v>
      </c>
      <c r="D33" t="str">
        <f t="shared" si="11"/>
        <v>BE0</v>
      </c>
      <c r="E33" s="12">
        <v>0</v>
      </c>
      <c r="F33" s="12"/>
      <c r="G33" s="17">
        <v>0</v>
      </c>
      <c r="H33" s="15">
        <v>43297</v>
      </c>
      <c r="I33" s="16">
        <v>31</v>
      </c>
      <c r="J33" s="16">
        <v>0</v>
      </c>
      <c r="K33" s="16">
        <v>1</v>
      </c>
      <c r="L33" s="16">
        <v>3100</v>
      </c>
      <c r="M33" s="16">
        <f t="shared" si="1"/>
        <v>248</v>
      </c>
      <c r="N33" s="8">
        <f t="shared" si="2"/>
        <v>3348</v>
      </c>
      <c r="O33" s="2" t="str">
        <f t="shared" si="3"/>
        <v xml:space="preserve">EXECUTE [dbo].[PG_CI_LIQUIDACION] 0,0,31,'BE04','BE0',0,'',0,'YYYY-07-17',0,1,31,3100,248,3348; </v>
      </c>
    </row>
    <row r="34" spans="2:15" x14ac:dyDescent="0.45">
      <c r="B34" s="3">
        <v>32</v>
      </c>
      <c r="C34" t="s">
        <v>18</v>
      </c>
      <c r="D34" t="str">
        <f t="shared" si="11"/>
        <v>BE0</v>
      </c>
      <c r="E34" s="12">
        <v>0</v>
      </c>
      <c r="F34" s="12"/>
      <c r="G34" s="17">
        <v>0</v>
      </c>
      <c r="H34" s="15">
        <v>43298</v>
      </c>
      <c r="I34" s="16">
        <v>32</v>
      </c>
      <c r="J34" s="16">
        <v>1</v>
      </c>
      <c r="K34" s="16">
        <v>2</v>
      </c>
      <c r="L34" s="16">
        <v>3200</v>
      </c>
      <c r="M34" s="16">
        <f t="shared" si="1"/>
        <v>256</v>
      </c>
      <c r="N34" s="8">
        <f t="shared" si="2"/>
        <v>3456</v>
      </c>
      <c r="O34" s="2" t="str">
        <f t="shared" si="3"/>
        <v xml:space="preserve">EXECUTE [dbo].[PG_CI_LIQUIDACION] 0,0,32,'BE04','BE0',0,'',0,'YYYY-07-18',1,2,32,3200,256,3456; </v>
      </c>
    </row>
    <row r="35" spans="2:15" x14ac:dyDescent="0.45">
      <c r="B35" s="3">
        <v>33</v>
      </c>
      <c r="C35" t="s">
        <v>60</v>
      </c>
      <c r="D35" t="str">
        <f t="shared" si="11"/>
        <v>BG3</v>
      </c>
      <c r="E35" s="12">
        <v>0</v>
      </c>
      <c r="F35" s="12"/>
      <c r="G35" s="17">
        <v>0</v>
      </c>
      <c r="H35" s="15">
        <v>43299</v>
      </c>
      <c r="I35" s="16">
        <v>33</v>
      </c>
      <c r="J35" s="16">
        <v>0</v>
      </c>
      <c r="K35" s="16">
        <v>1</v>
      </c>
      <c r="L35" s="16">
        <v>3300</v>
      </c>
      <c r="M35" s="16">
        <f t="shared" si="1"/>
        <v>264</v>
      </c>
      <c r="N35" s="8">
        <f t="shared" si="2"/>
        <v>3564</v>
      </c>
      <c r="O35" s="2" t="str">
        <f t="shared" si="3"/>
        <v xml:space="preserve">EXECUTE [dbo].[PG_CI_LIQUIDACION] 0,0,33,'BG31','BG3',0,'',0,'YYYY-01-00',0,1,33,3300,264,3564; </v>
      </c>
    </row>
    <row r="36" spans="2:15" x14ac:dyDescent="0.45">
      <c r="I36" s="16"/>
      <c r="J36" s="16"/>
      <c r="K36" s="16"/>
    </row>
    <row r="39" spans="2:15" x14ac:dyDescent="0.45">
      <c r="N39" s="15"/>
    </row>
    <row r="40" spans="2:15" x14ac:dyDescent="0.45">
      <c r="N40" s="15"/>
    </row>
    <row r="41" spans="2:15" x14ac:dyDescent="0.45">
      <c r="N41" s="15"/>
    </row>
    <row r="42" spans="2:15" x14ac:dyDescent="0.45">
      <c r="N42" s="15"/>
    </row>
    <row r="43" spans="2:15" x14ac:dyDescent="0.45">
      <c r="N43" s="15"/>
    </row>
    <row r="44" spans="2:15" x14ac:dyDescent="0.45">
      <c r="N44" s="15"/>
    </row>
    <row r="45" spans="2:15" x14ac:dyDescent="0.45">
      <c r="N45" s="15"/>
    </row>
    <row r="46" spans="2:15" x14ac:dyDescent="0.45">
      <c r="N46" s="15"/>
    </row>
    <row r="47" spans="2:15" x14ac:dyDescent="0.45">
      <c r="N47" s="15"/>
    </row>
    <row r="48" spans="2:15" x14ac:dyDescent="0.45">
      <c r="N48" s="15"/>
    </row>
    <row r="49" spans="14:14" x14ac:dyDescent="0.45">
      <c r="N49" s="15"/>
    </row>
    <row r="50" spans="14:14" x14ac:dyDescent="0.45">
      <c r="N50" s="15"/>
    </row>
    <row r="51" spans="14:14" x14ac:dyDescent="0.45">
      <c r="N51" s="15"/>
    </row>
    <row r="52" spans="14:14" x14ac:dyDescent="0.45">
      <c r="N52" s="15"/>
    </row>
    <row r="53" spans="14:14" x14ac:dyDescent="0.45">
      <c r="N53" s="15"/>
    </row>
    <row r="54" spans="14:14" x14ac:dyDescent="0.45">
      <c r="N54" s="15"/>
    </row>
    <row r="55" spans="14:14" x14ac:dyDescent="0.45">
      <c r="N55" s="15"/>
    </row>
    <row r="56" spans="14:14" x14ac:dyDescent="0.45">
      <c r="N56" s="15"/>
    </row>
    <row r="57" spans="14:14" x14ac:dyDescent="0.45">
      <c r="N57" s="15"/>
    </row>
    <row r="58" spans="14:14" x14ac:dyDescent="0.45">
      <c r="N58" s="15"/>
    </row>
    <row r="59" spans="14:14" x14ac:dyDescent="0.45">
      <c r="N59" s="15"/>
    </row>
    <row r="60" spans="14:14" x14ac:dyDescent="0.45">
      <c r="N60" s="15"/>
    </row>
    <row r="61" spans="14:14" x14ac:dyDescent="0.45">
      <c r="N61" s="15"/>
    </row>
    <row r="62" spans="14:14" x14ac:dyDescent="0.45">
      <c r="N62" s="15"/>
    </row>
    <row r="63" spans="14:14" x14ac:dyDescent="0.45">
      <c r="N63" s="15"/>
    </row>
    <row r="64" spans="14:14" x14ac:dyDescent="0.45">
      <c r="N64" s="15"/>
    </row>
    <row r="65" spans="14:14" x14ac:dyDescent="0.45">
      <c r="N65" s="15"/>
    </row>
    <row r="66" spans="14:14" x14ac:dyDescent="0.45">
      <c r="N66" s="15"/>
    </row>
    <row r="67" spans="14:14" x14ac:dyDescent="0.45">
      <c r="N67" s="15"/>
    </row>
    <row r="68" spans="14:14" x14ac:dyDescent="0.45">
      <c r="N68" s="15"/>
    </row>
    <row r="69" spans="14:14" x14ac:dyDescent="0.45">
      <c r="N69" s="15"/>
    </row>
    <row r="70" spans="14:14" x14ac:dyDescent="0.45">
      <c r="N70" s="15"/>
    </row>
    <row r="71" spans="14:14" x14ac:dyDescent="0.45">
      <c r="N7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>
        <v>0</v>
      </c>
      <c r="L1">
        <v>0</v>
      </c>
      <c r="M1">
        <v>60</v>
      </c>
      <c r="N1">
        <v>1</v>
      </c>
      <c r="O1" s="9">
        <v>41207.688564814816</v>
      </c>
      <c r="P1" t="s">
        <v>9</v>
      </c>
    </row>
    <row r="2" spans="1:16" x14ac:dyDescent="0.45">
      <c r="A2" t="s">
        <v>0</v>
      </c>
      <c r="B2" t="s">
        <v>1</v>
      </c>
      <c r="C2" t="s">
        <v>2</v>
      </c>
      <c r="D2" t="s">
        <v>3</v>
      </c>
      <c r="E2" t="s">
        <v>10</v>
      </c>
      <c r="F2" t="s">
        <v>11</v>
      </c>
      <c r="G2" t="s">
        <v>12</v>
      </c>
      <c r="H2" t="s">
        <v>7</v>
      </c>
      <c r="I2" t="s">
        <v>8</v>
      </c>
      <c r="J2">
        <v>0</v>
      </c>
      <c r="K2">
        <v>0</v>
      </c>
      <c r="L2">
        <v>0</v>
      </c>
      <c r="M2">
        <v>60</v>
      </c>
      <c r="N2">
        <v>1</v>
      </c>
      <c r="O2" s="9">
        <v>41207.688564814816</v>
      </c>
      <c r="P2" t="s">
        <v>9</v>
      </c>
    </row>
    <row r="3" spans="1:16" x14ac:dyDescent="0.45">
      <c r="A3" t="s">
        <v>0</v>
      </c>
      <c r="B3" t="s">
        <v>1</v>
      </c>
      <c r="C3" t="s">
        <v>2</v>
      </c>
      <c r="D3" t="s">
        <v>3</v>
      </c>
      <c r="E3" t="s">
        <v>13</v>
      </c>
      <c r="F3">
        <v>0</v>
      </c>
      <c r="G3" t="s">
        <v>6</v>
      </c>
      <c r="H3" t="s">
        <v>7</v>
      </c>
      <c r="I3" t="s">
        <v>14</v>
      </c>
      <c r="J3">
        <v>0</v>
      </c>
      <c r="K3">
        <v>0</v>
      </c>
      <c r="L3">
        <v>0</v>
      </c>
      <c r="M3">
        <v>60</v>
      </c>
      <c r="N3">
        <v>1</v>
      </c>
      <c r="O3" s="9">
        <v>41207.688564814816</v>
      </c>
      <c r="P3" t="s">
        <v>9</v>
      </c>
    </row>
    <row r="4" spans="1:16" x14ac:dyDescent="0.45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16</v>
      </c>
      <c r="G4" t="s">
        <v>6</v>
      </c>
      <c r="H4" t="s">
        <v>7</v>
      </c>
      <c r="I4" t="s">
        <v>8</v>
      </c>
      <c r="J4">
        <v>0</v>
      </c>
      <c r="K4">
        <v>0</v>
      </c>
      <c r="L4">
        <v>0</v>
      </c>
      <c r="M4">
        <v>60</v>
      </c>
      <c r="N4">
        <v>1</v>
      </c>
      <c r="O4" s="9">
        <v>41207.688564814816</v>
      </c>
      <c r="P4" t="s">
        <v>9</v>
      </c>
    </row>
    <row r="5" spans="1:16" x14ac:dyDescent="0.45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18</v>
      </c>
      <c r="G5" t="s">
        <v>6</v>
      </c>
      <c r="H5" t="s">
        <v>7</v>
      </c>
      <c r="I5" t="s">
        <v>8</v>
      </c>
      <c r="J5">
        <v>0</v>
      </c>
      <c r="K5">
        <v>0</v>
      </c>
      <c r="L5">
        <v>0</v>
      </c>
      <c r="M5">
        <v>60</v>
      </c>
      <c r="N5">
        <v>1</v>
      </c>
      <c r="O5" s="9">
        <v>41207.688564814816</v>
      </c>
      <c r="P5" t="s">
        <v>9</v>
      </c>
    </row>
    <row r="6" spans="1:16" x14ac:dyDescent="0.45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t="s">
        <v>6</v>
      </c>
      <c r="H6" t="s">
        <v>7</v>
      </c>
      <c r="I6" t="s">
        <v>8</v>
      </c>
      <c r="J6">
        <v>0</v>
      </c>
      <c r="K6">
        <v>0</v>
      </c>
      <c r="L6">
        <v>0</v>
      </c>
      <c r="M6">
        <v>60</v>
      </c>
      <c r="N6">
        <v>1</v>
      </c>
      <c r="O6" s="9">
        <v>41207.688564814816</v>
      </c>
      <c r="P6" t="s">
        <v>9</v>
      </c>
    </row>
    <row r="7" spans="1:16" x14ac:dyDescent="0.45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22</v>
      </c>
      <c r="G7" t="s">
        <v>6</v>
      </c>
      <c r="H7" t="s">
        <v>7</v>
      </c>
      <c r="I7" t="s">
        <v>8</v>
      </c>
      <c r="J7">
        <v>0</v>
      </c>
      <c r="K7">
        <v>0</v>
      </c>
      <c r="L7">
        <v>0</v>
      </c>
      <c r="M7">
        <v>60</v>
      </c>
      <c r="N7">
        <v>1</v>
      </c>
      <c r="O7" s="9">
        <v>41207.688564814816</v>
      </c>
      <c r="P7" t="s">
        <v>9</v>
      </c>
    </row>
    <row r="8" spans="1:16" x14ac:dyDescent="0.45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24</v>
      </c>
      <c r="G8" t="s">
        <v>6</v>
      </c>
      <c r="H8" t="s">
        <v>7</v>
      </c>
      <c r="I8" t="s">
        <v>8</v>
      </c>
      <c r="J8">
        <v>0</v>
      </c>
      <c r="K8">
        <v>0</v>
      </c>
      <c r="L8">
        <v>0</v>
      </c>
      <c r="M8">
        <v>60</v>
      </c>
      <c r="N8">
        <v>1</v>
      </c>
      <c r="O8" s="9">
        <v>41207.688564814816</v>
      </c>
      <c r="P8" t="s">
        <v>9</v>
      </c>
    </row>
    <row r="9" spans="1:16" x14ac:dyDescent="0.45">
      <c r="A9" t="s">
        <v>0</v>
      </c>
      <c r="B9" t="s">
        <v>1</v>
      </c>
      <c r="C9" t="s">
        <v>2</v>
      </c>
      <c r="D9" t="s">
        <v>3</v>
      </c>
      <c r="E9" t="s">
        <v>25</v>
      </c>
      <c r="F9" t="s">
        <v>26</v>
      </c>
      <c r="G9" t="s">
        <v>6</v>
      </c>
      <c r="H9" t="s">
        <v>7</v>
      </c>
      <c r="I9" t="s">
        <v>8</v>
      </c>
      <c r="J9">
        <v>0</v>
      </c>
      <c r="K9">
        <v>0</v>
      </c>
      <c r="L9">
        <v>0</v>
      </c>
      <c r="M9">
        <v>60</v>
      </c>
      <c r="N9">
        <v>1</v>
      </c>
      <c r="O9" s="9">
        <v>41207.688564814816</v>
      </c>
      <c r="P9" t="s">
        <v>9</v>
      </c>
    </row>
    <row r="10" spans="1:16" x14ac:dyDescent="0.45">
      <c r="A10" t="s">
        <v>0</v>
      </c>
      <c r="B10" t="s">
        <v>1</v>
      </c>
      <c r="C10" t="s">
        <v>2</v>
      </c>
      <c r="D10" t="s">
        <v>3</v>
      </c>
      <c r="E10" t="s">
        <v>27</v>
      </c>
      <c r="F10" t="s">
        <v>28</v>
      </c>
      <c r="G10" t="s">
        <v>6</v>
      </c>
      <c r="H10" t="s">
        <v>7</v>
      </c>
      <c r="I10" t="s">
        <v>8</v>
      </c>
      <c r="J10">
        <v>0</v>
      </c>
      <c r="K10">
        <v>0</v>
      </c>
      <c r="L10">
        <v>0</v>
      </c>
      <c r="M10">
        <v>60</v>
      </c>
      <c r="N10">
        <v>1</v>
      </c>
      <c r="O10" s="9">
        <v>41207.688564814816</v>
      </c>
      <c r="P10" t="s">
        <v>9</v>
      </c>
    </row>
    <row r="11" spans="1:16" x14ac:dyDescent="0.45">
      <c r="A11" t="s">
        <v>0</v>
      </c>
      <c r="B11" t="s">
        <v>1</v>
      </c>
      <c r="C11" t="s">
        <v>2</v>
      </c>
      <c r="D11" t="s">
        <v>3</v>
      </c>
      <c r="E11" t="s">
        <v>29</v>
      </c>
      <c r="F11" t="s">
        <v>30</v>
      </c>
      <c r="G11" t="s">
        <v>6</v>
      </c>
      <c r="H11" t="s">
        <v>7</v>
      </c>
      <c r="I11" t="s">
        <v>8</v>
      </c>
      <c r="J11">
        <v>0</v>
      </c>
      <c r="K11">
        <v>0</v>
      </c>
      <c r="L11">
        <v>0</v>
      </c>
      <c r="M11">
        <v>60</v>
      </c>
      <c r="N11">
        <v>1</v>
      </c>
      <c r="O11" s="9">
        <v>41207.688564814816</v>
      </c>
      <c r="P11" t="s">
        <v>9</v>
      </c>
    </row>
    <row r="12" spans="1:16" x14ac:dyDescent="0.45">
      <c r="A12" t="s">
        <v>0</v>
      </c>
      <c r="B12" t="s">
        <v>1</v>
      </c>
      <c r="C12" t="s">
        <v>2</v>
      </c>
      <c r="D12" t="s">
        <v>3</v>
      </c>
      <c r="E12" t="s">
        <v>31</v>
      </c>
      <c r="F12" t="s">
        <v>32</v>
      </c>
      <c r="G12" t="s">
        <v>6</v>
      </c>
      <c r="H12" t="s">
        <v>7</v>
      </c>
      <c r="I12" t="s">
        <v>8</v>
      </c>
      <c r="J12">
        <v>0</v>
      </c>
      <c r="K12">
        <v>0</v>
      </c>
      <c r="L12">
        <v>0</v>
      </c>
      <c r="M12">
        <v>60</v>
      </c>
      <c r="N12">
        <v>1</v>
      </c>
      <c r="O12" s="9">
        <v>41207.688564814816</v>
      </c>
      <c r="P12" t="s">
        <v>9</v>
      </c>
    </row>
    <row r="13" spans="1:16" x14ac:dyDescent="0.45">
      <c r="A13" t="s">
        <v>0</v>
      </c>
      <c r="B13" t="s">
        <v>1</v>
      </c>
      <c r="C13" t="s">
        <v>2</v>
      </c>
      <c r="D13" t="s">
        <v>3</v>
      </c>
      <c r="E13" t="s">
        <v>33</v>
      </c>
      <c r="F13" t="s">
        <v>34</v>
      </c>
      <c r="G13" t="s">
        <v>6</v>
      </c>
      <c r="H13" t="s">
        <v>7</v>
      </c>
      <c r="I13" t="s">
        <v>8</v>
      </c>
      <c r="J13">
        <v>0</v>
      </c>
      <c r="K13">
        <v>0</v>
      </c>
      <c r="L13">
        <v>0</v>
      </c>
      <c r="M13">
        <v>60</v>
      </c>
      <c r="N13">
        <v>1</v>
      </c>
      <c r="O13" s="9">
        <v>41207.688564814816</v>
      </c>
      <c r="P13" t="s">
        <v>9</v>
      </c>
    </row>
    <row r="14" spans="1:16" x14ac:dyDescent="0.45">
      <c r="A14" t="s">
        <v>0</v>
      </c>
      <c r="B14" t="s">
        <v>1</v>
      </c>
      <c r="C14" t="s">
        <v>2</v>
      </c>
      <c r="D14" t="s">
        <v>3</v>
      </c>
      <c r="E14" t="s">
        <v>35</v>
      </c>
      <c r="F14" t="s">
        <v>36</v>
      </c>
      <c r="G14" t="s">
        <v>6</v>
      </c>
      <c r="H14" t="s">
        <v>7</v>
      </c>
      <c r="I14" t="s">
        <v>8</v>
      </c>
      <c r="J14">
        <v>0</v>
      </c>
      <c r="K14">
        <v>0</v>
      </c>
      <c r="L14">
        <v>0</v>
      </c>
      <c r="M14">
        <v>60</v>
      </c>
      <c r="N14">
        <v>1</v>
      </c>
      <c r="O14" s="9">
        <v>41207.688564814816</v>
      </c>
      <c r="P14" t="s">
        <v>9</v>
      </c>
    </row>
    <row r="15" spans="1:16" x14ac:dyDescent="0.45">
      <c r="A15" t="s">
        <v>0</v>
      </c>
      <c r="B15" t="s">
        <v>1</v>
      </c>
      <c r="C15" t="s">
        <v>2</v>
      </c>
      <c r="D15" t="s">
        <v>3</v>
      </c>
      <c r="E15" t="s">
        <v>37</v>
      </c>
      <c r="F15" t="s">
        <v>38</v>
      </c>
      <c r="G15" t="s">
        <v>6</v>
      </c>
      <c r="H15" t="s">
        <v>7</v>
      </c>
      <c r="I15" t="s">
        <v>8</v>
      </c>
      <c r="J15">
        <v>0</v>
      </c>
      <c r="K15">
        <v>0</v>
      </c>
      <c r="L15">
        <v>0</v>
      </c>
      <c r="M15">
        <v>60</v>
      </c>
      <c r="N15">
        <v>1</v>
      </c>
      <c r="O15" s="9">
        <v>41207.688564814816</v>
      </c>
      <c r="P15" t="s">
        <v>9</v>
      </c>
    </row>
    <row r="16" spans="1:16" x14ac:dyDescent="0.45">
      <c r="A16" t="s">
        <v>0</v>
      </c>
      <c r="B16" t="s">
        <v>1</v>
      </c>
      <c r="C16" t="s">
        <v>2</v>
      </c>
      <c r="D16" t="s">
        <v>3</v>
      </c>
      <c r="E16" t="s">
        <v>39</v>
      </c>
      <c r="F16" t="s">
        <v>40</v>
      </c>
      <c r="G16" t="s">
        <v>6</v>
      </c>
      <c r="H16" t="s">
        <v>7</v>
      </c>
      <c r="I16" t="s">
        <v>8</v>
      </c>
      <c r="J16">
        <v>0</v>
      </c>
      <c r="K16">
        <v>0</v>
      </c>
      <c r="L16">
        <v>0</v>
      </c>
      <c r="M16">
        <v>60</v>
      </c>
      <c r="N16">
        <v>1</v>
      </c>
      <c r="O16" s="9">
        <v>41207.688564814816</v>
      </c>
      <c r="P16" t="s">
        <v>9</v>
      </c>
    </row>
    <row r="17" spans="1:16" x14ac:dyDescent="0.45">
      <c r="A17" t="s">
        <v>0</v>
      </c>
      <c r="B17" t="s">
        <v>1</v>
      </c>
      <c r="C17" t="s">
        <v>2</v>
      </c>
      <c r="D17" t="s">
        <v>3</v>
      </c>
      <c r="E17" t="s">
        <v>41</v>
      </c>
      <c r="F17" t="s">
        <v>42</v>
      </c>
      <c r="G17" t="s">
        <v>6</v>
      </c>
      <c r="H17" t="s">
        <v>7</v>
      </c>
      <c r="I17" t="s">
        <v>8</v>
      </c>
      <c r="J17">
        <v>0</v>
      </c>
      <c r="K17">
        <v>0</v>
      </c>
      <c r="L17">
        <v>0</v>
      </c>
      <c r="M17">
        <v>60</v>
      </c>
      <c r="N17">
        <v>1</v>
      </c>
      <c r="O17" s="9">
        <v>41207.688564814816</v>
      </c>
      <c r="P17" t="s">
        <v>9</v>
      </c>
    </row>
    <row r="18" spans="1:16" x14ac:dyDescent="0.45">
      <c r="A18" t="s">
        <v>0</v>
      </c>
      <c r="B18" t="s">
        <v>1</v>
      </c>
      <c r="C18" t="s">
        <v>2</v>
      </c>
      <c r="D18" t="s">
        <v>3</v>
      </c>
      <c r="E18" t="s">
        <v>43</v>
      </c>
      <c r="F18" t="s">
        <v>44</v>
      </c>
      <c r="G18" t="s">
        <v>6</v>
      </c>
      <c r="H18" t="s">
        <v>7</v>
      </c>
      <c r="I18" t="s">
        <v>8</v>
      </c>
      <c r="J18">
        <v>0</v>
      </c>
      <c r="K18">
        <v>0</v>
      </c>
      <c r="L18">
        <v>0</v>
      </c>
      <c r="M18">
        <v>60</v>
      </c>
      <c r="N18">
        <v>1</v>
      </c>
      <c r="O18" s="9">
        <v>41207.688564814816</v>
      </c>
      <c r="P18" t="s">
        <v>9</v>
      </c>
    </row>
    <row r="19" spans="1:16" x14ac:dyDescent="0.45">
      <c r="A19" t="s">
        <v>0</v>
      </c>
      <c r="B19" t="s">
        <v>1</v>
      </c>
      <c r="C19" t="s">
        <v>2</v>
      </c>
      <c r="D19" t="s">
        <v>3</v>
      </c>
      <c r="E19" t="s">
        <v>45</v>
      </c>
      <c r="F19" t="s">
        <v>46</v>
      </c>
      <c r="G19" t="s">
        <v>6</v>
      </c>
      <c r="H19" t="s">
        <v>7</v>
      </c>
      <c r="I19" t="s">
        <v>8</v>
      </c>
      <c r="J19">
        <v>0</v>
      </c>
      <c r="K19">
        <v>0</v>
      </c>
      <c r="L19">
        <v>0</v>
      </c>
      <c r="M19">
        <v>60</v>
      </c>
      <c r="N19">
        <v>1</v>
      </c>
      <c r="O19" s="9">
        <v>41207.688564814816</v>
      </c>
      <c r="P19" t="s">
        <v>9</v>
      </c>
    </row>
    <row r="20" spans="1:16" x14ac:dyDescent="0.45">
      <c r="A20" t="s">
        <v>0</v>
      </c>
      <c r="B20" t="s">
        <v>1</v>
      </c>
      <c r="C20" t="s">
        <v>2</v>
      </c>
      <c r="D20" t="s">
        <v>3</v>
      </c>
      <c r="E20" t="s">
        <v>47</v>
      </c>
      <c r="F20" t="s">
        <v>48</v>
      </c>
      <c r="G20" t="s">
        <v>6</v>
      </c>
      <c r="H20" t="s">
        <v>7</v>
      </c>
      <c r="I20" t="s">
        <v>8</v>
      </c>
      <c r="J20">
        <v>0</v>
      </c>
      <c r="K20">
        <v>0</v>
      </c>
      <c r="L20">
        <v>0</v>
      </c>
      <c r="M20">
        <v>60</v>
      </c>
      <c r="N20">
        <v>1</v>
      </c>
      <c r="O20" s="9">
        <v>41207.688564814816</v>
      </c>
      <c r="P20" t="s">
        <v>9</v>
      </c>
    </row>
    <row r="21" spans="1:16" x14ac:dyDescent="0.45">
      <c r="A21" t="s">
        <v>0</v>
      </c>
      <c r="B21" t="s">
        <v>1</v>
      </c>
      <c r="C21" t="s">
        <v>2</v>
      </c>
      <c r="D21" t="s">
        <v>3</v>
      </c>
      <c r="E21" t="s">
        <v>49</v>
      </c>
      <c r="F21" t="s">
        <v>50</v>
      </c>
      <c r="G21" t="s">
        <v>6</v>
      </c>
      <c r="H21" t="s">
        <v>7</v>
      </c>
      <c r="I21" t="s">
        <v>8</v>
      </c>
      <c r="J21">
        <v>0</v>
      </c>
      <c r="K21">
        <v>0</v>
      </c>
      <c r="L21">
        <v>0</v>
      </c>
      <c r="M21">
        <v>60</v>
      </c>
      <c r="N21">
        <v>1</v>
      </c>
      <c r="O21" s="9">
        <v>41207.688564814816</v>
      </c>
      <c r="P21" t="s">
        <v>9</v>
      </c>
    </row>
    <row r="22" spans="1:16" x14ac:dyDescent="0.45">
      <c r="A22" t="s">
        <v>0</v>
      </c>
      <c r="B22" t="s">
        <v>1</v>
      </c>
      <c r="C22" t="s">
        <v>2</v>
      </c>
      <c r="D22" t="s">
        <v>3</v>
      </c>
      <c r="E22" t="s">
        <v>51</v>
      </c>
      <c r="F22" t="s">
        <v>52</v>
      </c>
      <c r="G22" t="s">
        <v>6</v>
      </c>
      <c r="H22" t="s">
        <v>7</v>
      </c>
      <c r="I22" t="s">
        <v>8</v>
      </c>
      <c r="J22">
        <v>0</v>
      </c>
      <c r="K22">
        <v>0</v>
      </c>
      <c r="L22">
        <v>0</v>
      </c>
      <c r="M22">
        <v>60</v>
      </c>
      <c r="N22">
        <v>1</v>
      </c>
      <c r="O22" s="9">
        <v>41207.688564814816</v>
      </c>
      <c r="P22" t="s">
        <v>9</v>
      </c>
    </row>
    <row r="23" spans="1:16" x14ac:dyDescent="0.45">
      <c r="A23" t="s">
        <v>0</v>
      </c>
      <c r="B23" t="s">
        <v>1</v>
      </c>
      <c r="C23" t="s">
        <v>2</v>
      </c>
      <c r="D23" t="s">
        <v>3</v>
      </c>
      <c r="E23" t="s">
        <v>53</v>
      </c>
      <c r="F23" t="s">
        <v>54</v>
      </c>
      <c r="G23" t="s">
        <v>6</v>
      </c>
      <c r="H23" t="s">
        <v>7</v>
      </c>
      <c r="I23" t="s">
        <v>8</v>
      </c>
      <c r="J23">
        <v>0</v>
      </c>
      <c r="K23">
        <v>0</v>
      </c>
      <c r="L23">
        <v>0</v>
      </c>
      <c r="M23">
        <v>60</v>
      </c>
      <c r="N23">
        <v>1</v>
      </c>
      <c r="O23" s="9">
        <v>41207.688564814816</v>
      </c>
      <c r="P23" t="s">
        <v>9</v>
      </c>
    </row>
    <row r="24" spans="1:16" x14ac:dyDescent="0.45">
      <c r="A24" t="s">
        <v>0</v>
      </c>
      <c r="B24" t="s">
        <v>1</v>
      </c>
      <c r="C24" t="s">
        <v>2</v>
      </c>
      <c r="D24" t="s">
        <v>3</v>
      </c>
      <c r="E24" t="s">
        <v>55</v>
      </c>
      <c r="F24" t="s">
        <v>56</v>
      </c>
      <c r="G24" t="s">
        <v>6</v>
      </c>
      <c r="H24" t="s">
        <v>7</v>
      </c>
      <c r="I24" t="s">
        <v>8</v>
      </c>
      <c r="J24">
        <v>0</v>
      </c>
      <c r="K24">
        <v>0</v>
      </c>
      <c r="L24">
        <v>0</v>
      </c>
      <c r="M24">
        <v>60</v>
      </c>
      <c r="N24">
        <v>1</v>
      </c>
      <c r="O24" s="9">
        <v>41207.688564814816</v>
      </c>
      <c r="P24" t="s">
        <v>9</v>
      </c>
    </row>
    <row r="25" spans="1:16" x14ac:dyDescent="0.45">
      <c r="A25" t="s">
        <v>0</v>
      </c>
      <c r="B25" t="s">
        <v>1</v>
      </c>
      <c r="C25" t="s">
        <v>2</v>
      </c>
      <c r="D25" t="s">
        <v>3</v>
      </c>
      <c r="E25" t="s">
        <v>57</v>
      </c>
      <c r="F25" t="s">
        <v>58</v>
      </c>
      <c r="G25" t="s">
        <v>6</v>
      </c>
      <c r="H25" t="s">
        <v>7</v>
      </c>
      <c r="I25" t="s">
        <v>8</v>
      </c>
      <c r="J25">
        <v>0</v>
      </c>
      <c r="K25">
        <v>0</v>
      </c>
      <c r="L25">
        <v>0</v>
      </c>
      <c r="M25">
        <v>60</v>
      </c>
      <c r="N25">
        <v>1</v>
      </c>
      <c r="O25" s="9">
        <v>41207.688564814816</v>
      </c>
      <c r="P25" t="s">
        <v>9</v>
      </c>
    </row>
    <row r="26" spans="1:16" x14ac:dyDescent="0.45">
      <c r="A26" t="s">
        <v>0</v>
      </c>
      <c r="B26" t="s">
        <v>1</v>
      </c>
      <c r="C26" t="s">
        <v>2</v>
      </c>
      <c r="D26" t="s">
        <v>3</v>
      </c>
      <c r="E26" t="s">
        <v>59</v>
      </c>
      <c r="F26" t="s">
        <v>60</v>
      </c>
      <c r="G26" t="s">
        <v>6</v>
      </c>
      <c r="H26" t="s">
        <v>7</v>
      </c>
      <c r="I26" t="s">
        <v>8</v>
      </c>
      <c r="J26">
        <v>0</v>
      </c>
      <c r="K26">
        <v>0</v>
      </c>
      <c r="L26">
        <v>0</v>
      </c>
      <c r="M26">
        <v>60</v>
      </c>
      <c r="N26">
        <v>1</v>
      </c>
      <c r="O26" s="9">
        <v>41207.688564814816</v>
      </c>
      <c r="P26" t="s">
        <v>9</v>
      </c>
    </row>
    <row r="27" spans="1:16" x14ac:dyDescent="0.45">
      <c r="A27" t="s">
        <v>0</v>
      </c>
      <c r="B27" t="s">
        <v>1</v>
      </c>
      <c r="C27" t="s">
        <v>2</v>
      </c>
      <c r="D27" t="s">
        <v>3</v>
      </c>
      <c r="E27" t="s">
        <v>61</v>
      </c>
      <c r="F27" t="s">
        <v>62</v>
      </c>
      <c r="G27" t="s">
        <v>12</v>
      </c>
      <c r="H27" t="s">
        <v>7</v>
      </c>
      <c r="I27" t="s">
        <v>8</v>
      </c>
      <c r="J27">
        <v>0</v>
      </c>
      <c r="K27">
        <v>0</v>
      </c>
      <c r="L27">
        <v>0</v>
      </c>
      <c r="M27">
        <v>60</v>
      </c>
      <c r="N27">
        <v>1</v>
      </c>
      <c r="O27" s="9">
        <v>41207.688564814816</v>
      </c>
      <c r="P27" t="s">
        <v>9</v>
      </c>
    </row>
    <row r="28" spans="1:16" x14ac:dyDescent="0.45">
      <c r="A28" t="s">
        <v>0</v>
      </c>
      <c r="B28" t="s">
        <v>1</v>
      </c>
      <c r="C28" t="s">
        <v>2</v>
      </c>
      <c r="D28" t="s">
        <v>3</v>
      </c>
      <c r="E28" t="s">
        <v>63</v>
      </c>
      <c r="F28" t="s">
        <v>64</v>
      </c>
      <c r="G28" t="s">
        <v>12</v>
      </c>
      <c r="H28" t="s">
        <v>7</v>
      </c>
      <c r="I28" t="s">
        <v>8</v>
      </c>
      <c r="J28">
        <v>0</v>
      </c>
      <c r="K28">
        <v>0</v>
      </c>
      <c r="L28">
        <v>0</v>
      </c>
      <c r="M28">
        <v>60</v>
      </c>
      <c r="N28">
        <v>1</v>
      </c>
      <c r="O28" s="9">
        <v>41207.688564814816</v>
      </c>
      <c r="P28" t="s">
        <v>9</v>
      </c>
    </row>
    <row r="29" spans="1:16" x14ac:dyDescent="0.45">
      <c r="A29" t="s">
        <v>0</v>
      </c>
      <c r="B29" t="s">
        <v>1</v>
      </c>
      <c r="C29" t="s">
        <v>2</v>
      </c>
      <c r="D29" t="s">
        <v>3</v>
      </c>
      <c r="E29" t="s">
        <v>65</v>
      </c>
      <c r="F29" t="s">
        <v>66</v>
      </c>
      <c r="G29" t="s">
        <v>12</v>
      </c>
      <c r="H29" t="s">
        <v>7</v>
      </c>
      <c r="I29" t="s">
        <v>8</v>
      </c>
      <c r="J29">
        <v>0</v>
      </c>
      <c r="K29">
        <v>0</v>
      </c>
      <c r="L29">
        <v>0</v>
      </c>
      <c r="M29">
        <v>60</v>
      </c>
      <c r="N29">
        <v>0</v>
      </c>
      <c r="O29" s="9">
        <v>41207.688564814816</v>
      </c>
      <c r="P29" t="s">
        <v>9</v>
      </c>
    </row>
    <row r="30" spans="1:16" x14ac:dyDescent="0.45">
      <c r="A30" t="s">
        <v>0</v>
      </c>
      <c r="B30" t="s">
        <v>1</v>
      </c>
      <c r="C30" t="s">
        <v>2</v>
      </c>
      <c r="D30" t="s">
        <v>3</v>
      </c>
      <c r="E30" t="s">
        <v>67</v>
      </c>
      <c r="F30" t="s">
        <v>68</v>
      </c>
      <c r="G30" t="s">
        <v>12</v>
      </c>
      <c r="H30" t="s">
        <v>7</v>
      </c>
      <c r="I30" t="s">
        <v>8</v>
      </c>
      <c r="J30">
        <v>0</v>
      </c>
      <c r="K30">
        <v>0</v>
      </c>
      <c r="L30">
        <v>0</v>
      </c>
      <c r="M30">
        <v>60</v>
      </c>
      <c r="N30">
        <v>0</v>
      </c>
      <c r="O30" s="9">
        <v>41207.688564814816</v>
      </c>
      <c r="P30" t="s">
        <v>9</v>
      </c>
    </row>
    <row r="31" spans="1:16" x14ac:dyDescent="0.45">
      <c r="A31" t="s">
        <v>0</v>
      </c>
      <c r="B31" t="s">
        <v>1</v>
      </c>
      <c r="C31" t="s">
        <v>2</v>
      </c>
      <c r="D31" t="s">
        <v>3</v>
      </c>
      <c r="E31" t="s">
        <v>69</v>
      </c>
      <c r="F31" t="s">
        <v>70</v>
      </c>
      <c r="G31" t="s">
        <v>12</v>
      </c>
      <c r="H31" t="s">
        <v>7</v>
      </c>
      <c r="I31" t="s">
        <v>8</v>
      </c>
      <c r="J31">
        <v>0</v>
      </c>
      <c r="K31">
        <v>0</v>
      </c>
      <c r="L31">
        <v>0</v>
      </c>
      <c r="M31">
        <v>60</v>
      </c>
      <c r="N31">
        <v>0</v>
      </c>
      <c r="O31" s="9">
        <v>41207.688564814816</v>
      </c>
      <c r="P31" t="s">
        <v>9</v>
      </c>
    </row>
    <row r="32" spans="1:16" x14ac:dyDescent="0.45">
      <c r="A32" t="s">
        <v>0</v>
      </c>
      <c r="B32" t="s">
        <v>1</v>
      </c>
      <c r="C32" t="s">
        <v>2</v>
      </c>
      <c r="D32" t="s">
        <v>3</v>
      </c>
      <c r="E32" t="s">
        <v>71</v>
      </c>
      <c r="F32" t="s">
        <v>72</v>
      </c>
      <c r="G32" t="s">
        <v>12</v>
      </c>
      <c r="H32" t="s">
        <v>7</v>
      </c>
      <c r="I32" t="s">
        <v>8</v>
      </c>
      <c r="J32">
        <v>0</v>
      </c>
      <c r="K32">
        <v>0</v>
      </c>
      <c r="L32">
        <v>0</v>
      </c>
      <c r="M32">
        <v>60</v>
      </c>
      <c r="N32">
        <v>0</v>
      </c>
      <c r="O32" s="9">
        <v>41207.688564814816</v>
      </c>
      <c r="P32" t="s">
        <v>9</v>
      </c>
    </row>
    <row r="33" spans="1:16" x14ac:dyDescent="0.45">
      <c r="A33" t="s">
        <v>0</v>
      </c>
      <c r="B33" t="s">
        <v>1</v>
      </c>
      <c r="C33" t="s">
        <v>2</v>
      </c>
      <c r="D33" t="s">
        <v>3</v>
      </c>
      <c r="E33" t="s">
        <v>73</v>
      </c>
      <c r="F33" t="s">
        <v>74</v>
      </c>
      <c r="G33" t="s">
        <v>12</v>
      </c>
      <c r="H33" t="s">
        <v>7</v>
      </c>
      <c r="I33" t="s">
        <v>8</v>
      </c>
      <c r="J33">
        <v>0</v>
      </c>
      <c r="K33">
        <v>0</v>
      </c>
      <c r="L33">
        <v>0</v>
      </c>
      <c r="M33">
        <v>60</v>
      </c>
      <c r="N33">
        <v>0</v>
      </c>
      <c r="O33" s="9">
        <v>41207.688564814816</v>
      </c>
      <c r="P33" t="s">
        <v>9</v>
      </c>
    </row>
    <row r="34" spans="1:16" x14ac:dyDescent="0.45">
      <c r="A34" t="s">
        <v>0</v>
      </c>
      <c r="B34" t="s">
        <v>1</v>
      </c>
      <c r="C34" t="s">
        <v>2</v>
      </c>
      <c r="D34" t="s">
        <v>3</v>
      </c>
      <c r="E34" t="s">
        <v>75</v>
      </c>
      <c r="F34" t="s">
        <v>76</v>
      </c>
      <c r="G34" t="s">
        <v>12</v>
      </c>
      <c r="H34" t="s">
        <v>7</v>
      </c>
      <c r="I34" t="s">
        <v>8</v>
      </c>
      <c r="J34">
        <v>0</v>
      </c>
      <c r="K34">
        <v>0</v>
      </c>
      <c r="L34">
        <v>0</v>
      </c>
      <c r="M34">
        <v>60</v>
      </c>
      <c r="N34">
        <v>0</v>
      </c>
      <c r="O34" s="9">
        <v>41207.688564814816</v>
      </c>
      <c r="P34" t="s">
        <v>9</v>
      </c>
    </row>
    <row r="35" spans="1:16" x14ac:dyDescent="0.45">
      <c r="A35" t="s">
        <v>0</v>
      </c>
      <c r="B35" t="s">
        <v>1</v>
      </c>
      <c r="C35" t="s">
        <v>2</v>
      </c>
      <c r="D35" t="s">
        <v>3</v>
      </c>
      <c r="E35" t="s">
        <v>77</v>
      </c>
      <c r="F35" t="s">
        <v>78</v>
      </c>
      <c r="G35" t="s">
        <v>12</v>
      </c>
      <c r="H35" t="s">
        <v>7</v>
      </c>
      <c r="I35" t="s">
        <v>8</v>
      </c>
      <c r="J35">
        <v>0</v>
      </c>
      <c r="K35">
        <v>0</v>
      </c>
      <c r="L35">
        <v>0</v>
      </c>
      <c r="M35">
        <v>60</v>
      </c>
      <c r="N35">
        <v>0</v>
      </c>
      <c r="O35" s="9">
        <v>41207.688564814816</v>
      </c>
      <c r="P35" t="s">
        <v>9</v>
      </c>
    </row>
    <row r="36" spans="1:16" x14ac:dyDescent="0.45">
      <c r="A36" t="s">
        <v>0</v>
      </c>
      <c r="B36" t="s">
        <v>1</v>
      </c>
      <c r="C36" t="s">
        <v>2</v>
      </c>
      <c r="D36" t="s">
        <v>3</v>
      </c>
      <c r="E36" t="s">
        <v>79</v>
      </c>
      <c r="F36" t="s">
        <v>80</v>
      </c>
      <c r="G36" t="s">
        <v>12</v>
      </c>
      <c r="H36" t="s">
        <v>7</v>
      </c>
      <c r="I36" t="s">
        <v>8</v>
      </c>
      <c r="J36">
        <v>0</v>
      </c>
      <c r="K36">
        <v>0</v>
      </c>
      <c r="L36">
        <v>0</v>
      </c>
      <c r="M36">
        <v>60</v>
      </c>
      <c r="N36">
        <v>0</v>
      </c>
      <c r="O36" s="9">
        <v>41207.688564814816</v>
      </c>
      <c r="P36" t="s">
        <v>9</v>
      </c>
    </row>
    <row r="37" spans="1:16" x14ac:dyDescent="0.45">
      <c r="A37" t="s">
        <v>0</v>
      </c>
      <c r="B37" t="s">
        <v>1</v>
      </c>
      <c r="C37" t="s">
        <v>2</v>
      </c>
      <c r="D37" t="s">
        <v>3</v>
      </c>
      <c r="E37" t="s">
        <v>81</v>
      </c>
      <c r="F37" t="s">
        <v>82</v>
      </c>
      <c r="G37" t="s">
        <v>12</v>
      </c>
      <c r="H37" t="s">
        <v>7</v>
      </c>
      <c r="I37" t="s">
        <v>8</v>
      </c>
      <c r="J37">
        <v>0</v>
      </c>
      <c r="K37">
        <v>0</v>
      </c>
      <c r="L37">
        <v>0</v>
      </c>
      <c r="M37">
        <v>60</v>
      </c>
      <c r="N37">
        <v>0</v>
      </c>
      <c r="O37" s="9">
        <v>41207.688564814816</v>
      </c>
      <c r="P37" t="s">
        <v>9</v>
      </c>
    </row>
    <row r="38" spans="1:16" x14ac:dyDescent="0.45">
      <c r="A38" t="s">
        <v>0</v>
      </c>
      <c r="B38" t="s">
        <v>1</v>
      </c>
      <c r="C38" t="s">
        <v>2</v>
      </c>
      <c r="D38" t="s">
        <v>3</v>
      </c>
      <c r="E38" t="s">
        <v>83</v>
      </c>
      <c r="F38" t="s">
        <v>84</v>
      </c>
      <c r="G38" t="s">
        <v>12</v>
      </c>
      <c r="H38" t="s">
        <v>7</v>
      </c>
      <c r="I38" t="s">
        <v>8</v>
      </c>
      <c r="J38">
        <v>0</v>
      </c>
      <c r="K38">
        <v>0</v>
      </c>
      <c r="L38">
        <v>0</v>
      </c>
      <c r="M38">
        <v>60</v>
      </c>
      <c r="N38">
        <v>1</v>
      </c>
      <c r="O38" s="9">
        <v>41207.688564814816</v>
      </c>
      <c r="P38" t="s">
        <v>9</v>
      </c>
    </row>
    <row r="39" spans="1:16" x14ac:dyDescent="0.45">
      <c r="A39" t="s">
        <v>0</v>
      </c>
      <c r="B39" t="s">
        <v>1</v>
      </c>
      <c r="C39" t="s">
        <v>2</v>
      </c>
      <c r="D39" t="s">
        <v>3</v>
      </c>
      <c r="E39" t="s">
        <v>85</v>
      </c>
      <c r="F39" t="s">
        <v>86</v>
      </c>
      <c r="G39" t="s">
        <v>12</v>
      </c>
      <c r="H39" t="s">
        <v>7</v>
      </c>
      <c r="I39" t="s">
        <v>8</v>
      </c>
      <c r="J39">
        <v>0</v>
      </c>
      <c r="K39">
        <v>0</v>
      </c>
      <c r="L39">
        <v>0</v>
      </c>
      <c r="M39">
        <v>60</v>
      </c>
      <c r="N39">
        <v>0</v>
      </c>
      <c r="O39" s="9">
        <v>41207.688564814816</v>
      </c>
      <c r="P39" t="s">
        <v>9</v>
      </c>
    </row>
    <row r="40" spans="1:16" x14ac:dyDescent="0.45">
      <c r="A40" t="s">
        <v>0</v>
      </c>
      <c r="B40" t="s">
        <v>1</v>
      </c>
      <c r="C40" t="s">
        <v>2</v>
      </c>
      <c r="D40" t="s">
        <v>3</v>
      </c>
      <c r="E40" t="s">
        <v>87</v>
      </c>
      <c r="F40" t="s">
        <v>88</v>
      </c>
      <c r="G40" t="s">
        <v>12</v>
      </c>
      <c r="H40" t="s">
        <v>7</v>
      </c>
      <c r="I40" t="s">
        <v>8</v>
      </c>
      <c r="J40">
        <v>0</v>
      </c>
      <c r="K40">
        <v>0</v>
      </c>
      <c r="L40">
        <v>0</v>
      </c>
      <c r="M40">
        <v>60</v>
      </c>
      <c r="N40">
        <v>0</v>
      </c>
      <c r="O40" s="9">
        <v>41207.688564814816</v>
      </c>
      <c r="P40" t="s">
        <v>9</v>
      </c>
    </row>
    <row r="41" spans="1:16" x14ac:dyDescent="0.45">
      <c r="A41" t="s">
        <v>0</v>
      </c>
      <c r="B41" t="s">
        <v>1</v>
      </c>
      <c r="C41" t="s">
        <v>2</v>
      </c>
      <c r="D41" t="s">
        <v>3</v>
      </c>
      <c r="E41" t="s">
        <v>89</v>
      </c>
      <c r="F41" t="s">
        <v>90</v>
      </c>
      <c r="G41" t="s">
        <v>12</v>
      </c>
      <c r="H41" t="s">
        <v>7</v>
      </c>
      <c r="I41" t="s">
        <v>8</v>
      </c>
      <c r="J41">
        <v>0</v>
      </c>
      <c r="K41">
        <v>0</v>
      </c>
      <c r="L41">
        <v>0</v>
      </c>
      <c r="M41">
        <v>60</v>
      </c>
      <c r="N41">
        <v>0</v>
      </c>
      <c r="O41" s="9">
        <v>41207.688564814816</v>
      </c>
      <c r="P41" t="s">
        <v>9</v>
      </c>
    </row>
    <row r="42" spans="1:16" x14ac:dyDescent="0.45">
      <c r="A42" t="s">
        <v>0</v>
      </c>
      <c r="B42" t="s">
        <v>1</v>
      </c>
      <c r="C42" t="s">
        <v>2</v>
      </c>
      <c r="D42" t="s">
        <v>3</v>
      </c>
      <c r="E42" t="s">
        <v>91</v>
      </c>
      <c r="F42" t="s">
        <v>92</v>
      </c>
      <c r="G42" t="s">
        <v>12</v>
      </c>
      <c r="H42" t="s">
        <v>7</v>
      </c>
      <c r="I42" t="s">
        <v>8</v>
      </c>
      <c r="J42">
        <v>0</v>
      </c>
      <c r="K42">
        <v>0</v>
      </c>
      <c r="L42">
        <v>0</v>
      </c>
      <c r="M42">
        <v>60</v>
      </c>
      <c r="N42">
        <v>0</v>
      </c>
      <c r="O42" s="9">
        <v>41207.688564814816</v>
      </c>
      <c r="P42" t="s">
        <v>9</v>
      </c>
    </row>
    <row r="43" spans="1:16" x14ac:dyDescent="0.45">
      <c r="A43" t="s">
        <v>0</v>
      </c>
      <c r="B43" t="s">
        <v>1</v>
      </c>
      <c r="C43" t="s">
        <v>2</v>
      </c>
      <c r="D43" t="s">
        <v>3</v>
      </c>
      <c r="E43" t="s">
        <v>93</v>
      </c>
      <c r="F43" t="s">
        <v>94</v>
      </c>
      <c r="G43" t="s">
        <v>12</v>
      </c>
      <c r="H43" t="s">
        <v>7</v>
      </c>
      <c r="I43" t="s">
        <v>8</v>
      </c>
      <c r="J43">
        <v>0</v>
      </c>
      <c r="K43">
        <v>0</v>
      </c>
      <c r="L43">
        <v>0</v>
      </c>
      <c r="M43">
        <v>60</v>
      </c>
      <c r="N43">
        <v>0</v>
      </c>
      <c r="O43" s="9">
        <v>41207.688564814816</v>
      </c>
      <c r="P43" t="s">
        <v>9</v>
      </c>
    </row>
    <row r="44" spans="1:16" x14ac:dyDescent="0.45">
      <c r="A44" t="s">
        <v>0</v>
      </c>
      <c r="B44" t="s">
        <v>1</v>
      </c>
      <c r="C44" t="s">
        <v>2</v>
      </c>
      <c r="D44" t="s">
        <v>3</v>
      </c>
      <c r="E44" t="s">
        <v>95</v>
      </c>
      <c r="F44" t="s">
        <v>96</v>
      </c>
      <c r="G44" t="s">
        <v>12</v>
      </c>
      <c r="H44" t="s">
        <v>7</v>
      </c>
      <c r="I44" t="s">
        <v>8</v>
      </c>
      <c r="J44">
        <v>0</v>
      </c>
      <c r="K44">
        <v>0</v>
      </c>
      <c r="L44">
        <v>0</v>
      </c>
      <c r="M44">
        <v>60</v>
      </c>
      <c r="N44">
        <v>0</v>
      </c>
      <c r="O44" s="9">
        <v>41207.688564814816</v>
      </c>
      <c r="P44" t="s">
        <v>9</v>
      </c>
    </row>
    <row r="45" spans="1:16" x14ac:dyDescent="0.45">
      <c r="A45" t="s">
        <v>0</v>
      </c>
      <c r="B45" t="s">
        <v>1</v>
      </c>
      <c r="C45" t="s">
        <v>2</v>
      </c>
      <c r="D45" t="s">
        <v>3</v>
      </c>
      <c r="E45" t="s">
        <v>97</v>
      </c>
      <c r="F45" t="s">
        <v>98</v>
      </c>
      <c r="G45" t="s">
        <v>12</v>
      </c>
      <c r="H45" t="s">
        <v>7</v>
      </c>
      <c r="I45" t="s">
        <v>8</v>
      </c>
      <c r="J45">
        <v>0</v>
      </c>
      <c r="K45">
        <v>0</v>
      </c>
      <c r="L45">
        <v>0</v>
      </c>
      <c r="M45">
        <v>60</v>
      </c>
      <c r="N45">
        <v>0</v>
      </c>
      <c r="O45" s="9">
        <v>41207.688564814816</v>
      </c>
      <c r="P45" t="s">
        <v>9</v>
      </c>
    </row>
    <row r="46" spans="1:16" x14ac:dyDescent="0.45">
      <c r="A46" t="s">
        <v>0</v>
      </c>
      <c r="B46" t="s">
        <v>1</v>
      </c>
      <c r="C46" t="s">
        <v>2</v>
      </c>
      <c r="D46" t="s">
        <v>3</v>
      </c>
      <c r="E46" t="s">
        <v>99</v>
      </c>
      <c r="F46" t="s">
        <v>100</v>
      </c>
      <c r="G46" t="s">
        <v>12</v>
      </c>
      <c r="H46" t="s">
        <v>7</v>
      </c>
      <c r="I46" t="s">
        <v>8</v>
      </c>
      <c r="J46">
        <v>0</v>
      </c>
      <c r="K46">
        <v>0</v>
      </c>
      <c r="L46">
        <v>0</v>
      </c>
      <c r="M46">
        <v>60</v>
      </c>
      <c r="N46">
        <v>0</v>
      </c>
      <c r="O46" s="9">
        <v>41207.688564814816</v>
      </c>
      <c r="P46" t="s">
        <v>9</v>
      </c>
    </row>
    <row r="47" spans="1:16" x14ac:dyDescent="0.45">
      <c r="A47" t="s">
        <v>0</v>
      </c>
      <c r="B47" t="s">
        <v>1</v>
      </c>
      <c r="C47" t="s">
        <v>2</v>
      </c>
      <c r="D47" t="s">
        <v>3</v>
      </c>
      <c r="E47" t="s">
        <v>101</v>
      </c>
      <c r="F47" t="s">
        <v>102</v>
      </c>
      <c r="G47" t="s">
        <v>12</v>
      </c>
      <c r="H47" t="s">
        <v>7</v>
      </c>
      <c r="I47" t="s">
        <v>8</v>
      </c>
      <c r="J47">
        <v>0</v>
      </c>
      <c r="K47">
        <v>0</v>
      </c>
      <c r="L47">
        <v>0</v>
      </c>
      <c r="M47">
        <v>60</v>
      </c>
      <c r="N47">
        <v>1</v>
      </c>
      <c r="O47" s="9">
        <v>41207.688564814816</v>
      </c>
      <c r="P47" t="s">
        <v>9</v>
      </c>
    </row>
    <row r="48" spans="1:16" x14ac:dyDescent="0.45">
      <c r="A48" t="s">
        <v>0</v>
      </c>
      <c r="B48" t="s">
        <v>1</v>
      </c>
      <c r="C48" t="s">
        <v>2</v>
      </c>
      <c r="D48" t="s">
        <v>3</v>
      </c>
      <c r="E48" t="s">
        <v>103</v>
      </c>
      <c r="F48" t="s">
        <v>104</v>
      </c>
      <c r="G48" t="s">
        <v>12</v>
      </c>
      <c r="H48" t="s">
        <v>7</v>
      </c>
      <c r="I48" t="s">
        <v>8</v>
      </c>
      <c r="J48">
        <v>0</v>
      </c>
      <c r="K48">
        <v>0</v>
      </c>
      <c r="L48">
        <v>0</v>
      </c>
      <c r="M48">
        <v>60</v>
      </c>
      <c r="N48">
        <v>0</v>
      </c>
      <c r="O48" s="9">
        <v>41207.688564814816</v>
      </c>
      <c r="P48" t="s">
        <v>9</v>
      </c>
    </row>
    <row r="49" spans="1:16" x14ac:dyDescent="0.45">
      <c r="A49" t="s">
        <v>0</v>
      </c>
      <c r="B49" t="s">
        <v>1</v>
      </c>
      <c r="C49" t="s">
        <v>2</v>
      </c>
      <c r="D49" t="s">
        <v>3</v>
      </c>
      <c r="E49" t="s">
        <v>105</v>
      </c>
      <c r="F49" t="s">
        <v>106</v>
      </c>
      <c r="G49" t="s">
        <v>12</v>
      </c>
      <c r="H49" t="s">
        <v>7</v>
      </c>
      <c r="I49" t="s">
        <v>8</v>
      </c>
      <c r="J49">
        <v>0</v>
      </c>
      <c r="K49">
        <v>0</v>
      </c>
      <c r="L49">
        <v>0</v>
      </c>
      <c r="M49">
        <v>60</v>
      </c>
      <c r="N49">
        <v>0</v>
      </c>
      <c r="O49" s="9">
        <v>41207.688564814816</v>
      </c>
      <c r="P49" t="s">
        <v>9</v>
      </c>
    </row>
    <row r="50" spans="1:16" x14ac:dyDescent="0.45">
      <c r="A50" t="s">
        <v>0</v>
      </c>
      <c r="B50" t="s">
        <v>1</v>
      </c>
      <c r="C50" t="s">
        <v>2</v>
      </c>
      <c r="D50" t="s">
        <v>3</v>
      </c>
      <c r="E50" t="s">
        <v>107</v>
      </c>
      <c r="F50" t="s">
        <v>108</v>
      </c>
      <c r="G50" t="s">
        <v>6</v>
      </c>
      <c r="H50" t="s">
        <v>7</v>
      </c>
      <c r="I50" t="s">
        <v>8</v>
      </c>
      <c r="J50">
        <v>0</v>
      </c>
      <c r="K50">
        <v>0</v>
      </c>
      <c r="L50">
        <v>0</v>
      </c>
      <c r="M50">
        <v>60</v>
      </c>
      <c r="N50">
        <v>1</v>
      </c>
      <c r="O50" s="9">
        <v>41207.688564814816</v>
      </c>
      <c r="P50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2019-02-06T19:36:41Z</dcterms:modified>
</cp:coreProperties>
</file>