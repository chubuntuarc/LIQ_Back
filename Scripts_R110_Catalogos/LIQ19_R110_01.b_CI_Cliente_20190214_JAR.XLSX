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30" windowHeight="7590" activeTab="1"/>
  </bookViews>
  <sheets>
    <sheet name="XXXX" sheetId="1" r:id="rId1"/>
    <sheet name="CLIENTE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2" l="1"/>
  <c r="P5" i="2" l="1"/>
  <c r="P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51" i="2"/>
  <c r="O51" i="2" s="1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8" i="2"/>
  <c r="N69" i="2"/>
  <c r="N70" i="2"/>
  <c r="N71" i="2"/>
  <c r="N72" i="2"/>
  <c r="N4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5" i="2"/>
  <c r="Z6" i="2"/>
  <c r="Z7" i="2"/>
  <c r="Z4" i="2"/>
  <c r="E27" i="2"/>
  <c r="E29" i="2"/>
  <c r="E33" i="2"/>
  <c r="E35" i="2"/>
  <c r="E51" i="2"/>
  <c r="E53" i="2"/>
  <c r="E57" i="2"/>
  <c r="E63" i="2"/>
  <c r="E65" i="2"/>
  <c r="E69" i="2"/>
  <c r="E71" i="2"/>
  <c r="I39" i="2"/>
  <c r="I56" i="2" s="1"/>
  <c r="I40" i="2"/>
  <c r="I41" i="2"/>
  <c r="I58" i="2" s="1"/>
  <c r="I42" i="2"/>
  <c r="I43" i="2"/>
  <c r="I60" i="2" s="1"/>
  <c r="I44" i="2"/>
  <c r="I45" i="2"/>
  <c r="I62" i="2" s="1"/>
  <c r="I46" i="2"/>
  <c r="I47" i="2"/>
  <c r="I64" i="2" s="1"/>
  <c r="I48" i="2"/>
  <c r="I49" i="2"/>
  <c r="I66" i="2" s="1"/>
  <c r="I50" i="2"/>
  <c r="I51" i="2"/>
  <c r="I68" i="2" s="1"/>
  <c r="I52" i="2"/>
  <c r="I53" i="2"/>
  <c r="I70" i="2" s="1"/>
  <c r="I54" i="2"/>
  <c r="I55" i="2"/>
  <c r="I72" i="2" s="1"/>
  <c r="I57" i="2"/>
  <c r="I59" i="2"/>
  <c r="I61" i="2"/>
  <c r="I63" i="2"/>
  <c r="I65" i="2"/>
  <c r="I67" i="2"/>
  <c r="I69" i="2"/>
  <c r="I71" i="2"/>
  <c r="I27" i="2"/>
  <c r="O27" i="2" s="1"/>
  <c r="I28" i="2"/>
  <c r="I29" i="2"/>
  <c r="O29" i="2" s="1"/>
  <c r="I30" i="2"/>
  <c r="I31" i="2"/>
  <c r="I32" i="2"/>
  <c r="I33" i="2"/>
  <c r="I34" i="2"/>
  <c r="I35" i="2"/>
  <c r="I36" i="2"/>
  <c r="I37" i="2"/>
  <c r="I38" i="2"/>
  <c r="I21" i="2"/>
  <c r="I22" i="2"/>
  <c r="I23" i="2"/>
  <c r="I24" i="2"/>
  <c r="I25" i="2"/>
  <c r="I26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27" i="2"/>
  <c r="H28" i="2"/>
  <c r="H29" i="2"/>
  <c r="H30" i="2"/>
  <c r="H31" i="2"/>
  <c r="H32" i="2"/>
  <c r="H33" i="2"/>
  <c r="H34" i="2"/>
  <c r="H35" i="2"/>
  <c r="B29" i="2"/>
  <c r="B30" i="2"/>
  <c r="B31" i="2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28" i="2"/>
  <c r="N48" i="2"/>
  <c r="N50" i="2"/>
  <c r="E59" i="2"/>
  <c r="N39" i="2"/>
  <c r="O39" i="2" s="1"/>
  <c r="N40" i="2"/>
  <c r="E41" i="2"/>
  <c r="N42" i="2"/>
  <c r="N43" i="2"/>
  <c r="N44" i="2"/>
  <c r="E45" i="2"/>
  <c r="N46" i="2"/>
  <c r="F71" i="2"/>
  <c r="F59" i="2"/>
  <c r="F63" i="2"/>
  <c r="F51" i="2"/>
  <c r="F53" i="2"/>
  <c r="F57" i="2"/>
  <c r="F41" i="2"/>
  <c r="F45" i="2"/>
  <c r="F47" i="2"/>
  <c r="F35" i="2"/>
  <c r="F39" i="2"/>
  <c r="F33" i="2"/>
  <c r="F29" i="2"/>
  <c r="Q29" i="2" s="1"/>
  <c r="F27" i="2"/>
  <c r="E21" i="2"/>
  <c r="E2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4" i="2"/>
  <c r="O5" i="2"/>
  <c r="O6" i="2"/>
  <c r="O7" i="2"/>
  <c r="O9" i="2"/>
  <c r="O11" i="2"/>
  <c r="O15" i="2"/>
  <c r="O17" i="2"/>
  <c r="O10" i="2"/>
  <c r="O16" i="2"/>
  <c r="O21" i="2"/>
  <c r="O23" i="2"/>
  <c r="O35" i="2"/>
  <c r="O53" i="2"/>
  <c r="O57" i="2"/>
  <c r="O71" i="2"/>
  <c r="O8" i="2"/>
  <c r="Q21" i="2"/>
  <c r="Q23" i="2"/>
  <c r="Q27" i="2"/>
  <c r="Q33" i="2"/>
  <c r="Q35" i="2"/>
  <c r="Q51" i="2"/>
  <c r="Q53" i="2"/>
  <c r="Q57" i="2"/>
  <c r="Q63" i="2"/>
  <c r="Q71" i="2"/>
  <c r="Q4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" i="2"/>
  <c r="P6" i="2"/>
  <c r="E5" i="2"/>
  <c r="Q5" i="2" s="1"/>
  <c r="E6" i="2"/>
  <c r="E7" i="2"/>
  <c r="H9" i="2"/>
  <c r="E9" i="2" s="1"/>
  <c r="H10" i="2"/>
  <c r="H11" i="2"/>
  <c r="H13" i="2"/>
  <c r="H17" i="2" s="1"/>
  <c r="H21" i="2" s="1"/>
  <c r="H25" i="2" s="1"/>
  <c r="H14" i="2"/>
  <c r="H18" i="2" s="1"/>
  <c r="H22" i="2" s="1"/>
  <c r="H26" i="2" s="1"/>
  <c r="H15" i="2"/>
  <c r="H19" i="2" s="1"/>
  <c r="H23" i="2" s="1"/>
  <c r="H8" i="2"/>
  <c r="H12" i="2" s="1"/>
  <c r="H16" i="2" s="1"/>
  <c r="H20" i="2" s="1"/>
  <c r="H24" i="2" s="1"/>
  <c r="F16" i="2"/>
  <c r="F22" i="2" s="1"/>
  <c r="F28" i="2" s="1"/>
  <c r="F15" i="2"/>
  <c r="F21" i="2" s="1"/>
  <c r="F14" i="2"/>
  <c r="F20" i="2" s="1"/>
  <c r="F26" i="2" s="1"/>
  <c r="E26" i="2" s="1"/>
  <c r="F13" i="2"/>
  <c r="F19" i="2" s="1"/>
  <c r="O19" i="2" s="1"/>
  <c r="F12" i="2"/>
  <c r="F18" i="2" s="1"/>
  <c r="F24" i="2" s="1"/>
  <c r="F30" i="2" s="1"/>
  <c r="F11" i="2"/>
  <c r="F17" i="2" s="1"/>
  <c r="F23" i="2" s="1"/>
  <c r="F10" i="2"/>
  <c r="E10" i="2" s="1"/>
  <c r="B5" i="2"/>
  <c r="M39" i="2"/>
  <c r="M52" i="2" s="1"/>
  <c r="M65" i="2" s="1"/>
  <c r="L35" i="2"/>
  <c r="L46" i="2" s="1"/>
  <c r="L57" i="2" s="1"/>
  <c r="L68" i="2" s="1"/>
  <c r="M33" i="2"/>
  <c r="M46" i="2" s="1"/>
  <c r="M59" i="2" s="1"/>
  <c r="M72" i="2" s="1"/>
  <c r="L31" i="2"/>
  <c r="L42" i="2" s="1"/>
  <c r="L53" i="2" s="1"/>
  <c r="L64" i="2" s="1"/>
  <c r="L29" i="2"/>
  <c r="L40" i="2" s="1"/>
  <c r="L51" i="2" s="1"/>
  <c r="L62" i="2" s="1"/>
  <c r="L27" i="2"/>
  <c r="L38" i="2" s="1"/>
  <c r="L49" i="2" s="1"/>
  <c r="L60" i="2" s="1"/>
  <c r="L71" i="2" s="1"/>
  <c r="K26" i="2"/>
  <c r="K33" i="2" s="1"/>
  <c r="K40" i="2" s="1"/>
  <c r="K47" i="2" s="1"/>
  <c r="K54" i="2" s="1"/>
  <c r="K61" i="2" s="1"/>
  <c r="K68" i="2" s="1"/>
  <c r="L25" i="2"/>
  <c r="L36" i="2" s="1"/>
  <c r="L47" i="2" s="1"/>
  <c r="L58" i="2" s="1"/>
  <c r="L69" i="2" s="1"/>
  <c r="L24" i="2"/>
  <c r="L23" i="2"/>
  <c r="L34" i="2" s="1"/>
  <c r="L45" i="2" s="1"/>
  <c r="L56" i="2" s="1"/>
  <c r="L67" i="2" s="1"/>
  <c r="M29" i="2"/>
  <c r="M42" i="2" s="1"/>
  <c r="M55" i="2" s="1"/>
  <c r="M68" i="2" s="1"/>
  <c r="M28" i="2"/>
  <c r="M41" i="2" s="1"/>
  <c r="M54" i="2" s="1"/>
  <c r="M67" i="2" s="1"/>
  <c r="M27" i="2"/>
  <c r="M40" i="2" s="1"/>
  <c r="M53" i="2" s="1"/>
  <c r="M66" i="2" s="1"/>
  <c r="M26" i="2"/>
  <c r="M25" i="2"/>
  <c r="M38" i="2" s="1"/>
  <c r="M51" i="2" s="1"/>
  <c r="M64" i="2" s="1"/>
  <c r="M24" i="2"/>
  <c r="M37" i="2" s="1"/>
  <c r="M50" i="2" s="1"/>
  <c r="M63" i="2" s="1"/>
  <c r="M23" i="2"/>
  <c r="M36" i="2" s="1"/>
  <c r="M49" i="2" s="1"/>
  <c r="M62" i="2" s="1"/>
  <c r="M22" i="2"/>
  <c r="M35" i="2" s="1"/>
  <c r="M48" i="2" s="1"/>
  <c r="M61" i="2" s="1"/>
  <c r="M21" i="2"/>
  <c r="M34" i="2" s="1"/>
  <c r="M47" i="2" s="1"/>
  <c r="M60" i="2" s="1"/>
  <c r="M20" i="2"/>
  <c r="M19" i="2"/>
  <c r="M32" i="2" s="1"/>
  <c r="M45" i="2" s="1"/>
  <c r="M58" i="2" s="1"/>
  <c r="M71" i="2" s="1"/>
  <c r="M18" i="2"/>
  <c r="M31" i="2" s="1"/>
  <c r="M44" i="2" s="1"/>
  <c r="M57" i="2" s="1"/>
  <c r="M70" i="2" s="1"/>
  <c r="M17" i="2"/>
  <c r="M30" i="2" s="1"/>
  <c r="M43" i="2" s="1"/>
  <c r="M56" i="2" s="1"/>
  <c r="M69" i="2" s="1"/>
  <c r="L22" i="2"/>
  <c r="L33" i="2" s="1"/>
  <c r="L44" i="2" s="1"/>
  <c r="L55" i="2" s="1"/>
  <c r="L66" i="2" s="1"/>
  <c r="L21" i="2"/>
  <c r="L32" i="2" s="1"/>
  <c r="L43" i="2" s="1"/>
  <c r="L54" i="2" s="1"/>
  <c r="L65" i="2" s="1"/>
  <c r="L20" i="2"/>
  <c r="L19" i="2"/>
  <c r="L30" i="2" s="1"/>
  <c r="L41" i="2" s="1"/>
  <c r="L52" i="2" s="1"/>
  <c r="L63" i="2" s="1"/>
  <c r="L18" i="2"/>
  <c r="L17" i="2"/>
  <c r="L28" i="2" s="1"/>
  <c r="L39" i="2" s="1"/>
  <c r="L50" i="2" s="1"/>
  <c r="L61" i="2" s="1"/>
  <c r="L72" i="2" s="1"/>
  <c r="L16" i="2"/>
  <c r="L15" i="2"/>
  <c r="L26" i="2" s="1"/>
  <c r="L37" i="2" s="1"/>
  <c r="L48" i="2" s="1"/>
  <c r="L59" i="2" s="1"/>
  <c r="L70" i="2" s="1"/>
  <c r="K18" i="2"/>
  <c r="K25" i="2" s="1"/>
  <c r="K32" i="2" s="1"/>
  <c r="K39" i="2" s="1"/>
  <c r="K46" i="2" s="1"/>
  <c r="K53" i="2" s="1"/>
  <c r="K60" i="2" s="1"/>
  <c r="K67" i="2" s="1"/>
  <c r="K17" i="2"/>
  <c r="K24" i="2" s="1"/>
  <c r="K31" i="2" s="1"/>
  <c r="K38" i="2" s="1"/>
  <c r="K45" i="2" s="1"/>
  <c r="K52" i="2" s="1"/>
  <c r="K59" i="2" s="1"/>
  <c r="K66" i="2" s="1"/>
  <c r="K16" i="2"/>
  <c r="K23" i="2" s="1"/>
  <c r="K30" i="2" s="1"/>
  <c r="K37" i="2" s="1"/>
  <c r="K44" i="2" s="1"/>
  <c r="K51" i="2" s="1"/>
  <c r="K58" i="2" s="1"/>
  <c r="K65" i="2" s="1"/>
  <c r="K72" i="2" s="1"/>
  <c r="K15" i="2"/>
  <c r="K22" i="2" s="1"/>
  <c r="K29" i="2" s="1"/>
  <c r="K36" i="2" s="1"/>
  <c r="K43" i="2" s="1"/>
  <c r="K50" i="2" s="1"/>
  <c r="K57" i="2" s="1"/>
  <c r="K64" i="2" s="1"/>
  <c r="K71" i="2" s="1"/>
  <c r="K14" i="2"/>
  <c r="K21" i="2" s="1"/>
  <c r="K28" i="2" s="1"/>
  <c r="K35" i="2" s="1"/>
  <c r="K42" i="2" s="1"/>
  <c r="K49" i="2" s="1"/>
  <c r="K56" i="2" s="1"/>
  <c r="K63" i="2" s="1"/>
  <c r="K70" i="2" s="1"/>
  <c r="K13" i="2"/>
  <c r="K20" i="2" s="1"/>
  <c r="K27" i="2" s="1"/>
  <c r="K34" i="2" s="1"/>
  <c r="K41" i="2" s="1"/>
  <c r="K48" i="2" s="1"/>
  <c r="K55" i="2" s="1"/>
  <c r="K62" i="2" s="1"/>
  <c r="K69" i="2" s="1"/>
  <c r="K12" i="2"/>
  <c r="K19" i="2" s="1"/>
  <c r="K11" i="2"/>
  <c r="Q45" i="2" l="1"/>
  <c r="Q41" i="2"/>
  <c r="AA21" i="2"/>
  <c r="E39" i="2"/>
  <c r="AA27" i="2"/>
  <c r="AA5" i="2"/>
  <c r="N49" i="2"/>
  <c r="AA35" i="2"/>
  <c r="N45" i="2"/>
  <c r="O45" i="2" s="1"/>
  <c r="N41" i="2"/>
  <c r="O41" i="2" s="1"/>
  <c r="O4" i="2"/>
  <c r="AA4" i="2"/>
  <c r="Q7" i="2"/>
  <c r="AA7" i="2"/>
  <c r="Q9" i="2"/>
  <c r="AA9" i="2" s="1"/>
  <c r="AA23" i="2"/>
  <c r="AA29" i="2"/>
  <c r="AA71" i="2"/>
  <c r="AA57" i="2"/>
  <c r="AA53" i="2"/>
  <c r="Q59" i="2"/>
  <c r="AA51" i="2"/>
  <c r="N67" i="2"/>
  <c r="O63" i="2"/>
  <c r="AA63" i="2" s="1"/>
  <c r="Q26" i="2"/>
  <c r="O26" i="2"/>
  <c r="AA26" i="2" s="1"/>
  <c r="F32" i="2"/>
  <c r="O20" i="2"/>
  <c r="O14" i="2"/>
  <c r="O13" i="2"/>
  <c r="E30" i="2"/>
  <c r="F36" i="2"/>
  <c r="O12" i="2"/>
  <c r="Q6" i="2"/>
  <c r="AA6" i="2" s="1"/>
  <c r="O24" i="2"/>
  <c r="E24" i="2"/>
  <c r="O30" i="2"/>
  <c r="O18" i="2"/>
  <c r="F34" i="2"/>
  <c r="E28" i="2"/>
  <c r="O28" i="2"/>
  <c r="E22" i="2"/>
  <c r="O22" i="2"/>
  <c r="Q10" i="2"/>
  <c r="AA10" i="2" s="1"/>
  <c r="O33" i="2"/>
  <c r="AA33" i="2" s="1"/>
  <c r="O59" i="2"/>
  <c r="F69" i="2"/>
  <c r="F65" i="2"/>
  <c r="F25" i="2"/>
  <c r="E19" i="2"/>
  <c r="E17" i="2"/>
  <c r="E13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E20" i="2"/>
  <c r="E16" i="2"/>
  <c r="E12" i="2"/>
  <c r="E8" i="2"/>
  <c r="E15" i="2"/>
  <c r="E11" i="2"/>
  <c r="E18" i="2"/>
  <c r="E14" i="2"/>
  <c r="Z5" i="1"/>
  <c r="Z6" i="1"/>
  <c r="Z4" i="1"/>
  <c r="Z3" i="1"/>
  <c r="AA14" i="2" l="1"/>
  <c r="N47" i="2"/>
  <c r="O47" i="2" s="1"/>
  <c r="E47" i="2"/>
  <c r="AA11" i="2"/>
  <c r="Q11" i="2"/>
  <c r="AA17" i="2"/>
  <c r="Q17" i="2"/>
  <c r="AA30" i="2"/>
  <c r="Q39" i="2"/>
  <c r="AA39" i="2" s="1"/>
  <c r="AA41" i="2"/>
  <c r="AA16" i="2"/>
  <c r="Q15" i="2"/>
  <c r="AA15" i="2" s="1"/>
  <c r="AA19" i="2"/>
  <c r="AA45" i="2"/>
  <c r="AA59" i="2"/>
  <c r="Q14" i="2"/>
  <c r="Q8" i="2"/>
  <c r="AA8" i="2" s="1"/>
  <c r="O32" i="2"/>
  <c r="E32" i="2"/>
  <c r="F38" i="2"/>
  <c r="Q20" i="2"/>
  <c r="AA20" i="2" s="1"/>
  <c r="Q19" i="2"/>
  <c r="O25" i="2"/>
  <c r="E25" i="2"/>
  <c r="F31" i="2"/>
  <c r="Q13" i="2"/>
  <c r="AA13" i="2" s="1"/>
  <c r="Q24" i="2"/>
  <c r="AA24" i="2" s="1"/>
  <c r="E36" i="2"/>
  <c r="F42" i="2"/>
  <c r="O36" i="2"/>
  <c r="Q18" i="2"/>
  <c r="AA18" i="2" s="1"/>
  <c r="Q30" i="2"/>
  <c r="Q12" i="2"/>
  <c r="AA12" i="2" s="1"/>
  <c r="Q22" i="2"/>
  <c r="AA22" i="2" s="1"/>
  <c r="Q28" i="2"/>
  <c r="AA28" i="2" s="1"/>
  <c r="Q16" i="2"/>
  <c r="E34" i="2"/>
  <c r="F40" i="2"/>
  <c r="O34" i="2"/>
  <c r="O65" i="2"/>
  <c r="Q65" i="2"/>
  <c r="O69" i="2"/>
  <c r="Q69" i="2"/>
  <c r="Q47" i="2" l="1"/>
  <c r="AA47" i="2" s="1"/>
  <c r="AA69" i="2"/>
  <c r="AA65" i="2"/>
  <c r="Q32" i="2"/>
  <c r="AA32" i="2" s="1"/>
  <c r="E38" i="2"/>
  <c r="F44" i="2"/>
  <c r="O38" i="2"/>
  <c r="Q25" i="2"/>
  <c r="AA25" i="2" s="1"/>
  <c r="O31" i="2"/>
  <c r="E31" i="2"/>
  <c r="F37" i="2"/>
  <c r="O42" i="2"/>
  <c r="E42" i="2"/>
  <c r="F48" i="2"/>
  <c r="Q36" i="2"/>
  <c r="AA36" i="2" s="1"/>
  <c r="F46" i="2"/>
  <c r="E40" i="2"/>
  <c r="O40" i="2"/>
  <c r="Q34" i="2"/>
  <c r="AA34" i="2" s="1"/>
  <c r="O44" i="2" l="1"/>
  <c r="E44" i="2"/>
  <c r="F50" i="2"/>
  <c r="Q38" i="2"/>
  <c r="AA38" i="2" s="1"/>
  <c r="Q31" i="2"/>
  <c r="AA31" i="2" s="1"/>
  <c r="E37" i="2"/>
  <c r="O37" i="2"/>
  <c r="F43" i="2"/>
  <c r="F54" i="2"/>
  <c r="O48" i="2"/>
  <c r="E48" i="2"/>
  <c r="Q42" i="2"/>
  <c r="AA42" i="2" s="1"/>
  <c r="Q40" i="2"/>
  <c r="AA40" i="2" s="1"/>
  <c r="E46" i="2"/>
  <c r="F52" i="2"/>
  <c r="O46" i="2"/>
  <c r="E50" i="2" l="1"/>
  <c r="F56" i="2"/>
  <c r="O50" i="2"/>
  <c r="Q44" i="2"/>
  <c r="AA44" i="2" s="1"/>
  <c r="Q37" i="2"/>
  <c r="AA37" i="2" s="1"/>
  <c r="E43" i="2"/>
  <c r="O43" i="2"/>
  <c r="F49" i="2"/>
  <c r="E54" i="2"/>
  <c r="F60" i="2"/>
  <c r="O54" i="2"/>
  <c r="Q48" i="2"/>
  <c r="AA48" i="2" s="1"/>
  <c r="E52" i="2"/>
  <c r="F58" i="2"/>
  <c r="O52" i="2"/>
  <c r="Q46" i="2"/>
  <c r="AA46" i="2" s="1"/>
  <c r="E56" i="2" l="1"/>
  <c r="F62" i="2"/>
  <c r="O56" i="2"/>
  <c r="Q50" i="2"/>
  <c r="AA50" i="2" s="1"/>
  <c r="Q43" i="2"/>
  <c r="AA43" i="2" s="1"/>
  <c r="E49" i="2"/>
  <c r="F55" i="2"/>
  <c r="O49" i="2"/>
  <c r="F66" i="2"/>
  <c r="E60" i="2"/>
  <c r="O60" i="2"/>
  <c r="Q54" i="2"/>
  <c r="AA54" i="2" s="1"/>
  <c r="Q52" i="2"/>
  <c r="AA52" i="2" s="1"/>
  <c r="F64" i="2"/>
  <c r="E58" i="2"/>
  <c r="O58" i="2"/>
  <c r="Q56" i="2" l="1"/>
  <c r="AA56" i="2" s="1"/>
  <c r="F68" i="2"/>
  <c r="E62" i="2"/>
  <c r="O62" i="2"/>
  <c r="Q49" i="2"/>
  <c r="AA49" i="2" s="1"/>
  <c r="E55" i="2"/>
  <c r="F61" i="2"/>
  <c r="O55" i="2"/>
  <c r="Q60" i="2"/>
  <c r="AA60" i="2" s="1"/>
  <c r="E66" i="2"/>
  <c r="F72" i="2"/>
  <c r="O66" i="2"/>
  <c r="Q58" i="2"/>
  <c r="AA58" i="2" s="1"/>
  <c r="E64" i="2"/>
  <c r="F70" i="2"/>
  <c r="O64" i="2"/>
  <c r="Q62" i="2" l="1"/>
  <c r="AA62" i="2" s="1"/>
  <c r="E68" i="2"/>
  <c r="O68" i="2"/>
  <c r="Q55" i="2"/>
  <c r="AA55" i="2" s="1"/>
  <c r="E61" i="2"/>
  <c r="F67" i="2"/>
  <c r="O61" i="2"/>
  <c r="E72" i="2"/>
  <c r="O72" i="2"/>
  <c r="Q66" i="2"/>
  <c r="AA66" i="2" s="1"/>
  <c r="E70" i="2"/>
  <c r="O70" i="2"/>
  <c r="Q64" i="2"/>
  <c r="AA64" i="2" s="1"/>
  <c r="Q68" i="2" l="1"/>
  <c r="AA68" i="2" s="1"/>
  <c r="Q61" i="2"/>
  <c r="AA61" i="2" s="1"/>
  <c r="O67" i="2"/>
  <c r="E67" i="2"/>
  <c r="Q72" i="2"/>
  <c r="AA72" i="2" s="1"/>
  <c r="Q70" i="2"/>
  <c r="AA70" i="2" s="1"/>
  <c r="Q67" i="2" l="1"/>
  <c r="AA67" i="2" s="1"/>
</calcChain>
</file>

<file path=xl/sharedStrings.xml><?xml version="1.0" encoding="utf-8"?>
<sst xmlns="http://schemas.openxmlformats.org/spreadsheetml/2006/main" count="217" uniqueCount="92">
  <si>
    <t>CORREO</t>
  </si>
  <si>
    <t>TELEFONO</t>
  </si>
  <si>
    <t>COLONIA</t>
  </si>
  <si>
    <t>POBLACION</t>
  </si>
  <si>
    <t>CP</t>
  </si>
  <si>
    <t>MUNICIPIO</t>
  </si>
  <si>
    <t>K_SITIO</t>
  </si>
  <si>
    <t>CALLE</t>
  </si>
  <si>
    <t>NUM. INT</t>
  </si>
  <si>
    <t>K_REGION</t>
  </si>
  <si>
    <t>NUM. EXT</t>
  </si>
  <si>
    <t>guille@gmail.com</t>
  </si>
  <si>
    <t>fer@gmail.com</t>
  </si>
  <si>
    <t>K_CLIENTE</t>
  </si>
  <si>
    <t>D_CLIENTE</t>
  </si>
  <si>
    <t>S_CLIENTE</t>
  </si>
  <si>
    <t>O_CLIENTE</t>
  </si>
  <si>
    <t>K_ESTATUS_CLIENTE</t>
  </si>
  <si>
    <t>K_TIPO_CLIENTE</t>
  </si>
  <si>
    <t>K_PERIODICIDAD</t>
  </si>
  <si>
    <t>NOMBRE</t>
  </si>
  <si>
    <t>APELLIDO_PATERNO</t>
  </si>
  <si>
    <t>APELLIDO_MATERNO</t>
  </si>
  <si>
    <t>CURP</t>
  </si>
  <si>
    <t>1</t>
  </si>
  <si>
    <t>2</t>
  </si>
  <si>
    <t>3</t>
  </si>
  <si>
    <t>Cliente Frecuente</t>
  </si>
  <si>
    <t>Cliente Formal</t>
  </si>
  <si>
    <t>Cliente Nuevo</t>
  </si>
  <si>
    <t>CLIFRE</t>
  </si>
  <si>
    <t>CLIFOR</t>
  </si>
  <si>
    <t>CLINUE</t>
  </si>
  <si>
    <t>Esteban</t>
  </si>
  <si>
    <t>Paz</t>
  </si>
  <si>
    <t>Escobar</t>
  </si>
  <si>
    <t>Dominguez</t>
  </si>
  <si>
    <t>Gutierres</t>
  </si>
  <si>
    <t>Perez</t>
  </si>
  <si>
    <t>De Leon</t>
  </si>
  <si>
    <t>Juarez</t>
  </si>
  <si>
    <t>EEGF91031221A</t>
  </si>
  <si>
    <t>EEPP85963221R</t>
  </si>
  <si>
    <t>EOED56985621P</t>
  </si>
  <si>
    <t>IIDJ45623189I</t>
  </si>
  <si>
    <t>NUMERO_MEDIDOR</t>
  </si>
  <si>
    <t>MED-1</t>
  </si>
  <si>
    <t>MED-2</t>
  </si>
  <si>
    <t>MED-3</t>
  </si>
  <si>
    <t>MED-4</t>
  </si>
  <si>
    <t>RFC_CLIENTE</t>
  </si>
  <si>
    <t>Av. Las torres</t>
  </si>
  <si>
    <t>Av. Talamas camanadari</t>
  </si>
  <si>
    <t>Av. Independencia</t>
  </si>
  <si>
    <t>Av. Gomez Morin</t>
  </si>
  <si>
    <t>juan</t>
  </si>
  <si>
    <t>pedro</t>
  </si>
  <si>
    <t>luis</t>
  </si>
  <si>
    <t>mario</t>
  </si>
  <si>
    <t>bety</t>
  </si>
  <si>
    <t>maria</t>
  </si>
  <si>
    <t>renata</t>
  </si>
  <si>
    <t>Lopez</t>
  </si>
  <si>
    <t>sandoval</t>
  </si>
  <si>
    <t>perez</t>
  </si>
  <si>
    <t>gonzalez</t>
  </si>
  <si>
    <t>arreola</t>
  </si>
  <si>
    <t>escailla</t>
  </si>
  <si>
    <t>martinez</t>
  </si>
  <si>
    <t>narvaez</t>
  </si>
  <si>
    <t>p4edroza</t>
  </si>
  <si>
    <t>zamarron</t>
  </si>
  <si>
    <t>salgado</t>
  </si>
  <si>
    <t>barraza</t>
  </si>
  <si>
    <t>portillo</t>
  </si>
  <si>
    <t>cordero</t>
  </si>
  <si>
    <t>tarango</t>
  </si>
  <si>
    <t>zamarripa</t>
  </si>
  <si>
    <t>=J3</t>
  </si>
  <si>
    <t>Paraje San Isidro</t>
  </si>
  <si>
    <t>San Pancho</t>
  </si>
  <si>
    <t>Yepomera</t>
  </si>
  <si>
    <t>Oscar Flores</t>
  </si>
  <si>
    <t>Panamericana</t>
  </si>
  <si>
    <t>Zaragoza</t>
  </si>
  <si>
    <t>Porvenir</t>
  </si>
  <si>
    <t>Henequen</t>
  </si>
  <si>
    <t>Ejercito Nacional</t>
  </si>
  <si>
    <t>SIN ASIGNAR</t>
  </si>
  <si>
    <t>(SIN ASIGNAR)</t>
  </si>
  <si>
    <t>????</t>
  </si>
  <si>
    <t>K_ESTATUS_CONEXION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</si>
</sst>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49" fontId="3" fillId="0" borderId="0" xfId="1" quotePrefix="1" applyNumberFormat="1"/>
    <xf numFmtId="0" fontId="0" fillId="0" borderId="0" xfId="0" applyNumberFormat="1"/>
    <xf numFmtId="0" fontId="4" fillId="2" borderId="0" xfId="0" applyFont="1" applyFill="1"/>
    <xf numFmtId="0" fontId="5" fillId="0" borderId="0" xfId="0" applyFont="1"/>
    <xf numFmtId="49" fontId="2" fillId="0" borderId="0" xfId="0" quotePrefix="1" applyNumberFormat="1" applyFont="1"/>
    <xf numFmtId="0" fontId="6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3" borderId="0" xfId="0" applyFill="1"/>
    <xf numFmtId="0" fontId="8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er@gmail.com" TargetMode="External"/><Relationship Id="rId1" Type="http://schemas.openxmlformats.org/officeDocument/2006/relationships/hyperlink" Target="mailto:guill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42"/>
  <sheetViews>
    <sheetView topLeftCell="G1" zoomScale="110" zoomScaleNormal="110" workbookViewId="0">
      <selection activeCell="K5" sqref="K5"/>
    </sheetView>
  </sheetViews>
  <sheetFormatPr baseColWidth="10" defaultRowHeight="15" x14ac:dyDescent="0.25"/>
  <cols>
    <col min="2" max="2" width="11" style="4" bestFit="1" customWidth="1"/>
    <col min="3" max="3" width="17" bestFit="1" customWidth="1"/>
    <col min="4" max="4" width="10" bestFit="1" customWidth="1"/>
    <col min="5" max="5" width="10.42578125" bestFit="1" customWidth="1"/>
    <col min="6" max="6" width="19.140625" bestFit="1" customWidth="1"/>
    <col min="7" max="7" width="15.28515625" style="1" bestFit="1" customWidth="1"/>
    <col min="8" max="8" width="7.7109375" style="1" bestFit="1" customWidth="1"/>
    <col min="9" max="9" width="15.85546875" style="1" bestFit="1" customWidth="1"/>
    <col min="10" max="10" width="9.140625" style="1" bestFit="1" customWidth="1"/>
    <col min="11" max="11" width="19.28515625" style="1" bestFit="1" customWidth="1"/>
    <col min="12" max="12" width="19.85546875" style="1" bestFit="1" customWidth="1"/>
    <col min="13" max="13" width="14.7109375" style="1" bestFit="1" customWidth="1"/>
    <col min="14" max="14" width="5.85546875" style="1" bestFit="1" customWidth="1"/>
    <col min="15" max="15" width="19.140625" style="1" bestFit="1" customWidth="1"/>
    <col min="16" max="16" width="10.140625" bestFit="1" customWidth="1"/>
    <col min="17" max="17" width="22.28515625" bestFit="1" customWidth="1"/>
    <col min="18" max="18" width="12.85546875" bestFit="1" customWidth="1"/>
    <col min="19" max="19" width="9.7109375" bestFit="1" customWidth="1"/>
    <col min="20" max="20" width="9.140625" bestFit="1" customWidth="1"/>
    <col min="21" max="21" width="11.42578125" bestFit="1" customWidth="1"/>
    <col min="22" max="22" width="3.28515625" bestFit="1" customWidth="1"/>
    <col min="23" max="23" width="11.140625" bestFit="1" customWidth="1"/>
    <col min="24" max="24" width="10.140625" bestFit="1" customWidth="1"/>
    <col min="25" max="25" width="19" bestFit="1" customWidth="1"/>
  </cols>
  <sheetData>
    <row r="2" spans="2:26" s="5" customFormat="1" x14ac:dyDescent="0.25"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6" t="s">
        <v>6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50</v>
      </c>
      <c r="N2" s="6" t="s">
        <v>23</v>
      </c>
      <c r="O2" s="6" t="s">
        <v>0</v>
      </c>
      <c r="P2" s="5" t="s">
        <v>1</v>
      </c>
      <c r="Q2" s="5" t="s">
        <v>7</v>
      </c>
      <c r="R2" s="5" t="s">
        <v>10</v>
      </c>
      <c r="S2" s="5" t="s">
        <v>8</v>
      </c>
      <c r="T2" s="5" t="s">
        <v>2</v>
      </c>
      <c r="U2" s="5" t="s">
        <v>3</v>
      </c>
      <c r="V2" s="5" t="s">
        <v>4</v>
      </c>
      <c r="W2" s="5" t="s">
        <v>5</v>
      </c>
      <c r="X2" s="5" t="s">
        <v>9</v>
      </c>
      <c r="Y2" s="5" t="s">
        <v>45</v>
      </c>
      <c r="Z2" s="3"/>
    </row>
    <row r="3" spans="2:26" x14ac:dyDescent="0.25">
      <c r="B3" s="4">
        <v>1</v>
      </c>
      <c r="C3" t="s">
        <v>27</v>
      </c>
      <c r="D3" t="s">
        <v>30</v>
      </c>
      <c r="E3">
        <v>1</v>
      </c>
      <c r="F3">
        <v>1</v>
      </c>
      <c r="G3" s="10">
        <v>4</v>
      </c>
      <c r="H3" s="10">
        <v>1</v>
      </c>
      <c r="I3" s="2" t="s">
        <v>24</v>
      </c>
      <c r="J3" s="13" t="s">
        <v>55</v>
      </c>
      <c r="K3" s="13" t="s">
        <v>33</v>
      </c>
      <c r="L3" s="13" t="s">
        <v>37</v>
      </c>
      <c r="M3" s="2" t="s">
        <v>41</v>
      </c>
      <c r="N3" s="2"/>
      <c r="O3" s="9" t="s">
        <v>11</v>
      </c>
      <c r="Q3" s="1" t="s">
        <v>51</v>
      </c>
      <c r="V3" s="1"/>
      <c r="X3">
        <v>0</v>
      </c>
      <c r="Y3" t="s">
        <v>46</v>
      </c>
      <c r="Z3" s="3" t="str">
        <f>CONCATENATE("EXECUTE [dbo].[PG_CF_CLIENTE] 0, 0, ",B3,", '",C3,"', '",D3,"', ",E3,", ",F3," ,",G3,", ",H3,", ",I3,", '",J3,"', '",K3,"', '",L3,"', '",M3,"', '",N3,"', '",O3,"', '",P3,"', '",Q3,"','",R3,"','",S3,"','",T3,"','",U3,"','",V3,"','",W3,"', ",X3,",'",Y3,"';" )</f>
        <v>EXECUTE [dbo].[PG_CF_CLIENTE] 0, 0, 1, 'Cliente Frecuente', 'CLIFRE', 1, 1 ,4, 1, 1, 'juan', 'Esteban', 'Gutierres', 'EEGF91031221A', '', 'guille@gmail.com', '', 'Av. Las torres','','','','','','', 0,'MED-1';</v>
      </c>
    </row>
    <row r="4" spans="2:26" x14ac:dyDescent="0.25">
      <c r="B4" s="4">
        <v>2</v>
      </c>
      <c r="C4" t="s">
        <v>28</v>
      </c>
      <c r="D4" t="s">
        <v>31</v>
      </c>
      <c r="E4">
        <v>2</v>
      </c>
      <c r="F4">
        <v>1</v>
      </c>
      <c r="G4" s="10">
        <v>1</v>
      </c>
      <c r="H4" s="10">
        <v>2</v>
      </c>
      <c r="I4" s="2" t="s">
        <v>25</v>
      </c>
      <c r="J4" s="13" t="s">
        <v>56</v>
      </c>
      <c r="K4" s="13" t="s">
        <v>34</v>
      </c>
      <c r="L4" s="13" t="s">
        <v>38</v>
      </c>
      <c r="M4" s="2" t="s">
        <v>42</v>
      </c>
      <c r="N4" s="2"/>
      <c r="O4" s="9" t="s">
        <v>12</v>
      </c>
      <c r="Q4" s="1" t="s">
        <v>52</v>
      </c>
      <c r="V4" s="1"/>
      <c r="X4">
        <v>0</v>
      </c>
      <c r="Y4" t="s">
        <v>47</v>
      </c>
      <c r="Z4" s="3" t="str">
        <f>CONCATENATE("EXECUTE [dbo].[PG_CF_CLIENTE] 0, 0, ",B4,", '",C4,"', '",D4,"', ",E4,", ",F4," ,",G4,", ",H4,", ",I4,", '",J4,"', '",K4,"', '",L4,"', '",M4,"', '",N4,"', '",O4,"', '",P4,"', '",Q4,"','",R4,"','",S4,"','",T4,"','",U4,"','",V4,"','",W4,"', ",X4,",'",Y4,"';" )</f>
        <v>EXECUTE [dbo].[PG_CF_CLIENTE] 0, 0, 2, 'Cliente Formal', 'CLIFOR', 2, 1 ,1, 2, 2, 'pedro', 'Paz', 'Perez', 'EEPP85963221R', '', 'fer@gmail.com', '', 'Av. Talamas camanadari','','','','','','', 0,'MED-2';</v>
      </c>
    </row>
    <row r="5" spans="2:26" x14ac:dyDescent="0.25">
      <c r="B5" s="4">
        <v>3</v>
      </c>
      <c r="C5" t="s">
        <v>27</v>
      </c>
      <c r="D5" t="s">
        <v>30</v>
      </c>
      <c r="E5">
        <v>3</v>
      </c>
      <c r="F5">
        <v>1</v>
      </c>
      <c r="G5" s="10">
        <v>3</v>
      </c>
      <c r="H5" s="10">
        <v>2</v>
      </c>
      <c r="I5" s="2" t="s">
        <v>26</v>
      </c>
      <c r="J5" s="13" t="s">
        <v>57</v>
      </c>
      <c r="K5" s="13" t="s">
        <v>35</v>
      </c>
      <c r="L5" s="13" t="s">
        <v>39</v>
      </c>
      <c r="M5" s="2" t="s">
        <v>43</v>
      </c>
      <c r="N5" s="2"/>
      <c r="O5" s="9"/>
      <c r="Q5" t="s">
        <v>53</v>
      </c>
      <c r="V5" s="1"/>
      <c r="X5">
        <v>0</v>
      </c>
      <c r="Y5" t="s">
        <v>48</v>
      </c>
      <c r="Z5" s="3" t="str">
        <f>CONCATENATE("EXECUTE [dbo].[PG_CF_CLIENTE] 0, 0, ",B5,", '",C5,"', '",D5,"', ",E5,", ",F5," ,",G5,", ",H5,", ",I5,", '",J5,"', '",K5,"', '",L5,"', '",M5,"', '",N5,"', '",O5,"', '",P5,"', '",Q5,"','",R5,"','",S5,"','",T5,"','",U5,"','",V5,"','",W5,"', ",X5,",'",Y5,"';" )</f>
        <v>EXECUTE [dbo].[PG_CF_CLIENTE] 0, 0, 3, 'Cliente Frecuente', 'CLIFRE', 3, 1 ,3, 2, 3, 'luis', 'Escobar', 'De Leon', 'EOED56985621P', '', '', '', 'Av. Independencia','','','','','','', 0,'MED-3';</v>
      </c>
    </row>
    <row r="6" spans="2:26" x14ac:dyDescent="0.25">
      <c r="B6" s="4">
        <v>4</v>
      </c>
      <c r="C6" t="s">
        <v>29</v>
      </c>
      <c r="D6" t="s">
        <v>32</v>
      </c>
      <c r="E6">
        <v>4</v>
      </c>
      <c r="F6">
        <v>1</v>
      </c>
      <c r="G6" s="10">
        <v>2</v>
      </c>
      <c r="H6" s="10">
        <v>3</v>
      </c>
      <c r="I6" s="2" t="s">
        <v>24</v>
      </c>
      <c r="J6" s="13" t="s">
        <v>58</v>
      </c>
      <c r="K6" s="13" t="s">
        <v>36</v>
      </c>
      <c r="L6" s="13" t="s">
        <v>40</v>
      </c>
      <c r="M6" s="2" t="s">
        <v>44</v>
      </c>
      <c r="N6" s="2"/>
      <c r="O6" s="9"/>
      <c r="Q6" t="s">
        <v>54</v>
      </c>
      <c r="V6" s="1"/>
      <c r="X6">
        <v>0</v>
      </c>
      <c r="Y6" t="s">
        <v>49</v>
      </c>
      <c r="Z6" s="11" t="str">
        <f>CONCATENATE("EXECUTE [dbo].[PG_CF_CLIENTE] 0, 0, ",B6,", '",C6,"', '",D6,"', ",E6,", ",F6," ,",G6,", ",H6,", ",I6,", '",J6,"', '",K6,"', '",L6,"', '",M6,"', '",N6,"', '",O6,"', '",P6,"', '",Q6,"','",R6,"','",S6,"','",T6,"','",U6,"','",V6,"','",W6,"', ",X6,",'",Y6,"';" )</f>
        <v>EXECUTE [dbo].[PG_CF_CLIENTE] 0, 0, 4, 'Cliente Nuevo', 'CLINUE', 4, 1 ,2, 3, 1, 'mario', 'Dominguez', 'Juarez', 'IIDJ45623189I', '', '', '', 'Av. Gomez Morin','','','','','','', 0,'MED-4';</v>
      </c>
    </row>
    <row r="7" spans="2:26" x14ac:dyDescent="0.25">
      <c r="G7" s="2"/>
      <c r="H7" s="2"/>
      <c r="I7" s="2"/>
      <c r="J7" s="13" t="s">
        <v>59</v>
      </c>
      <c r="K7" s="13" t="s">
        <v>62</v>
      </c>
      <c r="L7" s="13" t="s">
        <v>77</v>
      </c>
      <c r="M7" s="2"/>
      <c r="N7" s="2"/>
      <c r="O7" s="2"/>
      <c r="W7" s="7"/>
    </row>
    <row r="8" spans="2:26" x14ac:dyDescent="0.25">
      <c r="G8" s="2"/>
      <c r="H8" s="2"/>
      <c r="I8" s="2"/>
      <c r="J8" s="13" t="s">
        <v>60</v>
      </c>
      <c r="K8" s="13" t="s">
        <v>63</v>
      </c>
      <c r="L8" s="13" t="s">
        <v>76</v>
      </c>
      <c r="M8" s="2"/>
      <c r="N8" s="2"/>
      <c r="O8" s="2"/>
      <c r="W8" s="7"/>
      <c r="X8" s="12"/>
    </row>
    <row r="9" spans="2:26" x14ac:dyDescent="0.25">
      <c r="G9" s="2"/>
      <c r="H9" s="2"/>
      <c r="I9" s="2"/>
      <c r="J9" s="13" t="s">
        <v>61</v>
      </c>
      <c r="K9" s="13" t="s">
        <v>64</v>
      </c>
      <c r="L9" s="13" t="s">
        <v>75</v>
      </c>
      <c r="M9" s="2"/>
      <c r="N9" s="2"/>
      <c r="O9" s="2"/>
      <c r="Q9" s="2"/>
      <c r="R9" s="2"/>
      <c r="S9" s="2"/>
      <c r="T9" s="2"/>
      <c r="U9" s="2"/>
      <c r="V9" s="2"/>
      <c r="W9" s="7"/>
    </row>
    <row r="10" spans="2:26" x14ac:dyDescent="0.25">
      <c r="G10" s="2"/>
      <c r="H10" s="2"/>
      <c r="I10" s="2"/>
      <c r="J10" s="2" t="s">
        <v>78</v>
      </c>
      <c r="K10" s="13" t="s">
        <v>68</v>
      </c>
      <c r="L10" s="13" t="s">
        <v>74</v>
      </c>
      <c r="M10" s="2"/>
      <c r="N10" s="2"/>
      <c r="O10" s="2"/>
      <c r="W10" s="7"/>
    </row>
    <row r="11" spans="2:26" x14ac:dyDescent="0.25">
      <c r="G11" s="2"/>
      <c r="H11" s="2"/>
      <c r="I11" s="2"/>
      <c r="J11" s="2"/>
      <c r="K11" s="13" t="s">
        <v>67</v>
      </c>
      <c r="L11" s="13" t="s">
        <v>73</v>
      </c>
      <c r="M11" s="2"/>
      <c r="N11" s="2"/>
      <c r="O11" s="2"/>
      <c r="Q11" s="2"/>
      <c r="R11" s="2"/>
      <c r="S11" s="2"/>
      <c r="T11" s="2"/>
      <c r="U11" s="2"/>
      <c r="V11" s="2"/>
      <c r="W11" s="7"/>
    </row>
    <row r="12" spans="2:26" x14ac:dyDescent="0.25">
      <c r="G12" s="2"/>
      <c r="H12" s="2"/>
      <c r="I12" s="2"/>
      <c r="J12" s="2"/>
      <c r="K12" s="13" t="s">
        <v>66</v>
      </c>
      <c r="L12" s="13" t="s">
        <v>72</v>
      </c>
      <c r="M12" s="2"/>
      <c r="N12" s="2"/>
      <c r="O12" s="2"/>
      <c r="W12" s="7"/>
    </row>
    <row r="13" spans="2:26" x14ac:dyDescent="0.25">
      <c r="G13" s="2"/>
      <c r="H13" s="2"/>
      <c r="I13" s="2"/>
      <c r="J13" s="2"/>
      <c r="K13" s="13" t="s">
        <v>65</v>
      </c>
      <c r="L13" s="13" t="s">
        <v>71</v>
      </c>
      <c r="M13" s="2"/>
      <c r="N13" s="2"/>
      <c r="O13" s="2"/>
      <c r="W13" s="7"/>
    </row>
    <row r="14" spans="2:26" x14ac:dyDescent="0.25">
      <c r="G14" s="2"/>
      <c r="H14" s="2"/>
      <c r="I14" s="2"/>
      <c r="J14" s="2"/>
      <c r="K14" s="2"/>
      <c r="L14" s="13" t="s">
        <v>70</v>
      </c>
      <c r="M14" s="2"/>
      <c r="N14" s="2"/>
      <c r="O14" s="2"/>
      <c r="W14" s="7"/>
    </row>
    <row r="15" spans="2:26" x14ac:dyDescent="0.25">
      <c r="G15" s="2"/>
      <c r="H15" s="2"/>
      <c r="I15" s="2"/>
      <c r="J15" s="2"/>
      <c r="K15" s="2"/>
      <c r="L15" s="13" t="s">
        <v>69</v>
      </c>
      <c r="M15" s="2"/>
      <c r="N15" s="2"/>
      <c r="O15" s="2"/>
      <c r="Q15" s="2"/>
      <c r="R15" s="2"/>
      <c r="S15" s="2"/>
      <c r="T15" s="2"/>
      <c r="U15" s="2"/>
      <c r="V15" s="2"/>
      <c r="W15" s="7"/>
    </row>
    <row r="16" spans="2:26" x14ac:dyDescent="0.25">
      <c r="G16" s="2"/>
      <c r="H16" s="2"/>
      <c r="I16" s="2"/>
      <c r="J16" s="2"/>
      <c r="K16" s="2"/>
      <c r="L16" s="2"/>
      <c r="M16" s="2"/>
      <c r="N16" s="2"/>
      <c r="O16" s="2"/>
      <c r="W16" s="7"/>
    </row>
    <row r="17" spans="7:23" customFormat="1" x14ac:dyDescent="0.25">
      <c r="G17" s="2"/>
      <c r="H17" s="2"/>
      <c r="I17" s="2"/>
      <c r="J17" s="2"/>
      <c r="K17" s="2"/>
      <c r="L17" s="2"/>
      <c r="M17" s="2"/>
      <c r="N17" s="2"/>
      <c r="O17" s="2"/>
      <c r="W17" s="7"/>
    </row>
    <row r="18" spans="7:23" customFormat="1" x14ac:dyDescent="0.25">
      <c r="G18" s="2"/>
      <c r="H18" s="2"/>
      <c r="I18" s="2"/>
      <c r="J18" s="2"/>
      <c r="K18" s="2"/>
      <c r="L18" s="2"/>
      <c r="M18" s="2"/>
      <c r="N18" s="2"/>
      <c r="O18" s="2"/>
      <c r="W18" s="7"/>
    </row>
    <row r="19" spans="7:23" customFormat="1" x14ac:dyDescent="0.25">
      <c r="G19" s="2"/>
      <c r="H19" s="2"/>
      <c r="I19" s="2"/>
      <c r="J19" s="2"/>
      <c r="K19" s="2"/>
      <c r="L19" s="2"/>
      <c r="M19" s="2"/>
      <c r="N19" s="2"/>
      <c r="O19" s="2"/>
      <c r="W19" s="7"/>
    </row>
    <row r="20" spans="7:23" customFormat="1" x14ac:dyDescent="0.25">
      <c r="G20" s="2"/>
      <c r="H20" s="2"/>
      <c r="I20" s="2"/>
      <c r="J20" s="2"/>
      <c r="K20" s="2"/>
      <c r="L20" s="2"/>
      <c r="M20" s="2"/>
      <c r="N20" s="2"/>
      <c r="O20" s="2"/>
      <c r="W20" s="7"/>
    </row>
    <row r="21" spans="7:23" customFormat="1" x14ac:dyDescent="0.25">
      <c r="G21" s="1"/>
      <c r="H21" s="1"/>
      <c r="I21" s="1"/>
      <c r="J21" s="1"/>
      <c r="K21" s="1"/>
      <c r="L21" s="1"/>
      <c r="M21" s="1"/>
      <c r="N21" s="1"/>
      <c r="O21" s="1"/>
      <c r="W21" s="8"/>
    </row>
    <row r="22" spans="7:23" customFormat="1" x14ac:dyDescent="0.25">
      <c r="G22" s="1"/>
      <c r="H22" s="1"/>
      <c r="I22" s="1"/>
      <c r="J22" s="1"/>
      <c r="K22" s="1"/>
      <c r="L22" s="1"/>
      <c r="M22" s="1"/>
      <c r="N22" s="1"/>
      <c r="O22" s="1"/>
      <c r="W22" s="8"/>
    </row>
    <row r="23" spans="7:23" customFormat="1" x14ac:dyDescent="0.25">
      <c r="G23" s="1"/>
      <c r="H23" s="1"/>
      <c r="I23" s="1"/>
      <c r="J23" s="1"/>
      <c r="K23" s="1"/>
      <c r="L23" s="1"/>
      <c r="M23" s="1"/>
      <c r="N23" s="1"/>
      <c r="O23" s="1"/>
      <c r="W23" s="8"/>
    </row>
    <row r="24" spans="7:23" customFormat="1" x14ac:dyDescent="0.25">
      <c r="G24" s="1"/>
      <c r="H24" s="1"/>
      <c r="I24" s="1"/>
      <c r="J24" s="1"/>
      <c r="K24" s="1"/>
      <c r="L24" s="1"/>
      <c r="M24" s="1"/>
      <c r="N24" s="1"/>
      <c r="O24" s="1"/>
      <c r="W24" s="8"/>
    </row>
    <row r="25" spans="7:23" customFormat="1" x14ac:dyDescent="0.25">
      <c r="G25" s="1"/>
      <c r="H25" s="1"/>
      <c r="I25" s="1"/>
      <c r="J25" s="1"/>
      <c r="K25" s="1"/>
      <c r="L25" s="1"/>
      <c r="M25" s="1"/>
      <c r="N25" s="1"/>
      <c r="O25" s="1"/>
      <c r="W25" s="8"/>
    </row>
    <row r="26" spans="7:23" customFormat="1" x14ac:dyDescent="0.25">
      <c r="G26" s="1"/>
      <c r="H26" s="1"/>
      <c r="I26" s="1"/>
      <c r="J26" s="1"/>
      <c r="K26" s="1"/>
      <c r="L26" s="1"/>
      <c r="M26" s="1"/>
      <c r="N26" s="1"/>
      <c r="O26" s="1"/>
      <c r="W26" s="8"/>
    </row>
    <row r="27" spans="7:23" customFormat="1" x14ac:dyDescent="0.25">
      <c r="G27" s="1"/>
      <c r="H27" s="1"/>
      <c r="I27" s="1"/>
      <c r="J27" s="1"/>
      <c r="K27" s="1"/>
      <c r="L27" s="1"/>
      <c r="M27" s="1"/>
      <c r="N27" s="1"/>
      <c r="O27" s="1"/>
      <c r="W27" s="8"/>
    </row>
    <row r="28" spans="7:23" customFormat="1" x14ac:dyDescent="0.25">
      <c r="G28" s="1"/>
      <c r="H28" s="1"/>
      <c r="I28" s="1"/>
      <c r="J28" s="1"/>
      <c r="K28" s="1"/>
      <c r="L28" s="1"/>
      <c r="M28" s="1"/>
      <c r="N28" s="1"/>
      <c r="O28" s="1"/>
      <c r="W28" s="8"/>
    </row>
    <row r="29" spans="7:23" customFormat="1" x14ac:dyDescent="0.25">
      <c r="G29" s="1"/>
      <c r="H29" s="1"/>
      <c r="I29" s="1"/>
      <c r="J29" s="1"/>
      <c r="K29" s="1"/>
      <c r="L29" s="1"/>
      <c r="M29" s="1"/>
      <c r="N29" s="1"/>
      <c r="O29" s="1"/>
      <c r="W29" s="8"/>
    </row>
    <row r="30" spans="7:23" customFormat="1" x14ac:dyDescent="0.25">
      <c r="G30" s="1"/>
      <c r="H30" s="1"/>
      <c r="I30" s="1"/>
      <c r="J30" s="1"/>
      <c r="K30" s="1"/>
      <c r="L30" s="1"/>
      <c r="M30" s="1"/>
      <c r="N30" s="1"/>
      <c r="O30" s="1"/>
      <c r="W30" s="8"/>
    </row>
    <row r="31" spans="7:23" customFormat="1" x14ac:dyDescent="0.25">
      <c r="G31" s="1"/>
      <c r="H31" s="1"/>
      <c r="I31" s="1"/>
      <c r="J31" s="1"/>
      <c r="K31" s="1"/>
      <c r="L31" s="1"/>
      <c r="M31" s="1"/>
      <c r="N31" s="1"/>
      <c r="O31" s="1"/>
      <c r="W31" s="8"/>
    </row>
    <row r="32" spans="7:23" customFormat="1" x14ac:dyDescent="0.25">
      <c r="G32" s="1"/>
      <c r="H32" s="1"/>
      <c r="I32" s="1"/>
      <c r="J32" s="1"/>
      <c r="K32" s="1"/>
      <c r="L32" s="1"/>
      <c r="M32" s="1"/>
      <c r="N32" s="1"/>
      <c r="O32" s="1"/>
      <c r="W32" s="8"/>
    </row>
    <row r="33" spans="23:23" customFormat="1" x14ac:dyDescent="0.25">
      <c r="W33" s="8"/>
    </row>
    <row r="34" spans="23:23" customFormat="1" x14ac:dyDescent="0.25">
      <c r="W34" s="8"/>
    </row>
    <row r="35" spans="23:23" customFormat="1" x14ac:dyDescent="0.25">
      <c r="W35" s="8"/>
    </row>
    <row r="36" spans="23:23" customFormat="1" x14ac:dyDescent="0.25">
      <c r="W36" s="8"/>
    </row>
    <row r="37" spans="23:23" customFormat="1" x14ac:dyDescent="0.25">
      <c r="W37" s="8"/>
    </row>
    <row r="38" spans="23:23" customFormat="1" x14ac:dyDescent="0.25">
      <c r="W38" s="8"/>
    </row>
    <row r="39" spans="23:23" customFormat="1" x14ac:dyDescent="0.25">
      <c r="W39" s="8"/>
    </row>
    <row r="40" spans="23:23" customFormat="1" x14ac:dyDescent="0.25">
      <c r="W40" s="8"/>
    </row>
    <row r="41" spans="23:23" customFormat="1" x14ac:dyDescent="0.25">
      <c r="W41" s="8"/>
    </row>
    <row r="42" spans="23:23" customFormat="1" x14ac:dyDescent="0.25">
      <c r="W42" s="8"/>
    </row>
  </sheetData>
  <hyperlinks>
    <hyperlink ref="O3" r:id="rId1"/>
    <hyperlink ref="O4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72"/>
  <sheetViews>
    <sheetView tabSelected="1" topLeftCell="N1" workbookViewId="0">
      <pane ySplit="2" topLeftCell="A36" activePane="bottomLeft" state="frozen"/>
      <selection pane="bottomLeft" activeCell="AA3" sqref="AA3:AA72"/>
    </sheetView>
  </sheetViews>
  <sheetFormatPr baseColWidth="10" defaultRowHeight="15" x14ac:dyDescent="0.25"/>
  <cols>
    <col min="2" max="2" width="11.42578125" style="18"/>
    <col min="3" max="3" width="16.42578125" bestFit="1" customWidth="1"/>
    <col min="5" max="5" width="11.42578125" style="16"/>
    <col min="6" max="6" width="19" style="16" bestFit="1" customWidth="1"/>
    <col min="7" max="7" width="21.7109375" style="16" bestFit="1" customWidth="1"/>
    <col min="8" max="8" width="15.28515625" style="16" bestFit="1" customWidth="1"/>
    <col min="9" max="9" width="7.7109375" style="16" bestFit="1" customWidth="1"/>
    <col min="10" max="10" width="15.85546875" style="16" bestFit="1" customWidth="1"/>
    <col min="11" max="11" width="12.5703125" bestFit="1" customWidth="1"/>
    <col min="12" max="12" width="19" bestFit="1" customWidth="1"/>
    <col min="13" max="13" width="19.7109375" bestFit="1" customWidth="1"/>
    <col min="14" max="14" width="14.85546875" bestFit="1" customWidth="1"/>
    <col min="15" max="15" width="22.42578125" bestFit="1" customWidth="1"/>
    <col min="16" max="16" width="28.28515625" bestFit="1" customWidth="1"/>
    <col min="17" max="17" width="17.7109375" customWidth="1"/>
    <col min="18" max="18" width="22.28515625" bestFit="1" customWidth="1"/>
    <col min="25" max="25" width="11.42578125" customWidth="1"/>
    <col min="26" max="26" width="18.5703125" customWidth="1"/>
    <col min="27" max="27" width="50.7109375" style="15" customWidth="1"/>
  </cols>
  <sheetData>
    <row r="2" spans="2:27" x14ac:dyDescent="0.25">
      <c r="B2" s="18" t="s">
        <v>13</v>
      </c>
      <c r="C2" s="5" t="s">
        <v>14</v>
      </c>
      <c r="D2" s="5" t="s">
        <v>15</v>
      </c>
      <c r="E2" s="4" t="s">
        <v>16</v>
      </c>
      <c r="F2" s="4" t="s">
        <v>17</v>
      </c>
      <c r="G2" s="4" t="s">
        <v>91</v>
      </c>
      <c r="H2" s="4" t="s">
        <v>18</v>
      </c>
      <c r="I2" s="4" t="s">
        <v>6</v>
      </c>
      <c r="J2" s="4" t="s">
        <v>19</v>
      </c>
      <c r="K2" s="5" t="s">
        <v>20</v>
      </c>
      <c r="L2" s="5" t="s">
        <v>21</v>
      </c>
      <c r="M2" s="5" t="s">
        <v>22</v>
      </c>
      <c r="N2" s="5" t="s">
        <v>50</v>
      </c>
      <c r="O2" s="5" t="s">
        <v>23</v>
      </c>
      <c r="P2" s="5" t="s">
        <v>0</v>
      </c>
      <c r="Q2" s="5" t="s">
        <v>1</v>
      </c>
      <c r="R2" s="5" t="s">
        <v>7</v>
      </c>
      <c r="S2" s="5" t="s">
        <v>10</v>
      </c>
      <c r="T2" s="5" t="s">
        <v>8</v>
      </c>
      <c r="U2" s="5" t="s">
        <v>2</v>
      </c>
      <c r="V2" s="5" t="s">
        <v>3</v>
      </c>
      <c r="W2" s="5" t="s">
        <v>4</v>
      </c>
      <c r="X2" s="5" t="s">
        <v>5</v>
      </c>
      <c r="Y2" s="5" t="s">
        <v>9</v>
      </c>
      <c r="Z2" s="5" t="s">
        <v>45</v>
      </c>
    </row>
    <row r="3" spans="2:27" x14ac:dyDescent="0.25">
      <c r="B3" s="18">
        <v>0</v>
      </c>
      <c r="C3" s="5" t="s">
        <v>89</v>
      </c>
      <c r="D3" s="5" t="s">
        <v>90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1</v>
      </c>
      <c r="K3" s="5" t="s">
        <v>88</v>
      </c>
      <c r="L3" s="5" t="s">
        <v>88</v>
      </c>
      <c r="M3" s="5" t="s">
        <v>88</v>
      </c>
      <c r="N3" s="5" t="s">
        <v>88</v>
      </c>
      <c r="O3" s="5" t="s">
        <v>88</v>
      </c>
      <c r="P3" s="5" t="s">
        <v>88</v>
      </c>
      <c r="Q3" s="5" t="s">
        <v>88</v>
      </c>
      <c r="R3" s="5" t="s">
        <v>88</v>
      </c>
      <c r="S3" s="5"/>
      <c r="T3" s="5"/>
      <c r="U3" s="5"/>
      <c r="V3" s="5"/>
      <c r="W3" s="5"/>
      <c r="X3" s="5"/>
      <c r="Y3" s="5">
        <v>0</v>
      </c>
      <c r="Z3" s="5">
        <v>0</v>
      </c>
      <c r="AA3" s="11" t="str">
        <f>CONCATENATE("EXECUTE [dbo].[PG_CI_CLIENTE] 0, 0, ",B3,", '",C3,"', '",D3,"', ",E3,", ",F3,",",G3," ,",H3,", ",I3,", ",J3,", '",K3,"', '",L3,"', '",M3,"', '",N3,"', '",O3,"', '",P3,"', '",Q3,"', '",R3,"','",S3,"','",T3,"','",U3,"','",V3,"','",W3,"','",X3,"', ",Y3,",'",Z3,"';" )</f>
        <v>EXECUTE [dbo].[PG_CI_CLIENTE] 0, 0, 0, '(SIN ASIGNAR)', '????', 1, 0,1 ,1, 0, 1, 'SIN ASIGNAR', 'SIN ASIGNAR', 'SIN ASIGNAR', 'SIN ASIGNAR', 'SIN ASIGNAR', 'SIN ASIGNAR', 'SIN ASIGNAR', 'SIN ASIGNAR','','','','','','', 0,'0';</v>
      </c>
    </row>
    <row r="4" spans="2:27" x14ac:dyDescent="0.25">
      <c r="B4" s="18">
        <v>1</v>
      </c>
      <c r="C4" t="str">
        <f>K4&amp;L4</f>
        <v>juanEsteban</v>
      </c>
      <c r="D4" t="str">
        <f>LEFT(K4,3)&amp;LEFT(L4,3)</f>
        <v>juaEst</v>
      </c>
      <c r="E4" s="17">
        <v>6</v>
      </c>
      <c r="F4" s="18">
        <v>0</v>
      </c>
      <c r="G4" s="4">
        <v>1</v>
      </c>
      <c r="H4" s="18">
        <v>4</v>
      </c>
      <c r="I4" s="18">
        <v>1</v>
      </c>
      <c r="J4" s="4">
        <v>1</v>
      </c>
      <c r="K4" s="19" t="s">
        <v>55</v>
      </c>
      <c r="L4" s="19" t="s">
        <v>33</v>
      </c>
      <c r="M4" s="19" t="s">
        <v>37</v>
      </c>
      <c r="N4" s="20" t="str">
        <f>LEFT(K4,2)&amp;LEFT(L4,1)&amp;LEFT(M4,1)&amp;F4&amp;H4&amp;I4&amp;J4</f>
        <v>juEG0411</v>
      </c>
      <c r="O4" t="str">
        <f>N4&amp;"HTCSTR0"</f>
        <v>juEG0411HTCSTR0</v>
      </c>
      <c r="P4" s="20" t="str">
        <f>K4&amp;"."&amp;L4&amp;"@gmail.com"</f>
        <v>juan.Esteban@gmail.com</v>
      </c>
      <c r="Q4" t="str">
        <f>656&amp;"  "&amp;E4&amp;F4&amp;H4&amp;I4&amp;J4</f>
        <v>656  60411</v>
      </c>
      <c r="R4" t="s">
        <v>51</v>
      </c>
      <c r="Y4">
        <v>0</v>
      </c>
      <c r="Z4" t="str">
        <f>"MED-"&amp;B4</f>
        <v>MED-1</v>
      </c>
      <c r="AA4" s="11" t="str">
        <f t="shared" ref="AA4:AA67" si="0">CONCATENATE("EXECUTE [dbo].[PG_CI_CLIENTE] 0, 0, ",B4,", '",C4,"', '",D4,"', ",E4,", ",F4,",",G4," ,",H4,", ",I4,", ",J4,", '",K4,"', '",L4,"', '",M4,"', '",N4,"', '",O4,"', '",P4,"', '",Q4,"', '",R4,"','",S4,"','",T4,"','",U4,"','",V4,"','",W4,"','",X4,"', ",Y4,",'",Z4,"';" )</f>
        <v>EXECUTE [dbo].[PG_CI_CLIENTE] 0, 0, 1, 'juanEsteban', 'juaEst', 6, 0,1 ,4, 1, 1, 'juan', 'Esteban', 'Gutierres', 'juEG0411', 'juEG0411HTCSTR0', 'juan.Esteban@gmail.com', '656  60411', 'Av. Las torres','','','','','','', 0,'MED-1';</v>
      </c>
    </row>
    <row r="5" spans="2:27" x14ac:dyDescent="0.25">
      <c r="B5" s="18">
        <f>B4+1</f>
        <v>2</v>
      </c>
      <c r="C5" t="str">
        <f t="shared" ref="C5:C68" si="1">K5&amp;L5</f>
        <v>pedroPaz</v>
      </c>
      <c r="D5" t="str">
        <f t="shared" ref="D5:D68" si="2">LEFT(K5,3)&amp;LEFT(L5,3)</f>
        <v>pedPaz</v>
      </c>
      <c r="E5" s="17">
        <f t="shared" ref="E5:E68" si="3">F5+H5+I5+J5</f>
        <v>5</v>
      </c>
      <c r="F5" s="18">
        <v>1</v>
      </c>
      <c r="G5" s="4">
        <v>1</v>
      </c>
      <c r="H5" s="18">
        <v>1</v>
      </c>
      <c r="I5" s="18">
        <v>2</v>
      </c>
      <c r="J5" s="4">
        <v>1</v>
      </c>
      <c r="K5" s="19" t="s">
        <v>56</v>
      </c>
      <c r="L5" s="19" t="s">
        <v>34</v>
      </c>
      <c r="M5" s="19" t="s">
        <v>38</v>
      </c>
      <c r="N5" s="20" t="str">
        <f t="shared" ref="N5:N68" si="4">LEFT(K5,2)&amp;LEFT(L5,1)&amp;LEFT(M5,1)&amp;F5&amp;H5&amp;I5&amp;J5</f>
        <v>pePP1121</v>
      </c>
      <c r="O5" t="str">
        <f t="shared" ref="O5:O68" si="5">N5&amp;"HTCSTR0"</f>
        <v>pePP1121HTCSTR0</v>
      </c>
      <c r="P5" s="20" t="str">
        <f>K5&amp;"."&amp;L5&amp;"@gmail.com"</f>
        <v>pedro.Paz@gmail.com</v>
      </c>
      <c r="Q5" t="str">
        <f t="shared" ref="Q5:Q68" si="6">656&amp;"  "&amp;E5&amp;F5&amp;H5&amp;I5&amp;J5</f>
        <v>656  51121</v>
      </c>
      <c r="R5" t="s">
        <v>52</v>
      </c>
      <c r="Y5">
        <v>0</v>
      </c>
      <c r="Z5" t="str">
        <f t="shared" ref="Z5:Z68" si="7">"MED-"&amp;B5</f>
        <v>MED-2</v>
      </c>
      <c r="AA5" s="11" t="str">
        <f t="shared" si="0"/>
        <v>EXECUTE [dbo].[PG_CI_CLIENTE] 0, 0, 2, 'pedroPaz', 'pedPaz', 5, 1,1 ,1, 2, 1, 'pedro', 'Paz', 'Perez', 'pePP1121', 'pePP1121HTCSTR0', 'pedro.Paz@gmail.com', '656  51121', 'Av. Talamas camanadari','','','','','','', 0,'MED-2';</v>
      </c>
    </row>
    <row r="6" spans="2:27" x14ac:dyDescent="0.25">
      <c r="B6" s="18">
        <f t="shared" ref="B6:B69" si="8">B5+1</f>
        <v>3</v>
      </c>
      <c r="C6" t="str">
        <f t="shared" si="1"/>
        <v>luisEscobar</v>
      </c>
      <c r="D6" t="str">
        <f t="shared" si="2"/>
        <v>luiEsc</v>
      </c>
      <c r="E6" s="17">
        <f t="shared" si="3"/>
        <v>7</v>
      </c>
      <c r="F6" s="18">
        <v>1</v>
      </c>
      <c r="G6" s="4">
        <v>1</v>
      </c>
      <c r="H6" s="18">
        <v>3</v>
      </c>
      <c r="I6" s="18">
        <v>2</v>
      </c>
      <c r="J6" s="4">
        <v>1</v>
      </c>
      <c r="K6" s="19" t="s">
        <v>57</v>
      </c>
      <c r="L6" s="19" t="s">
        <v>35</v>
      </c>
      <c r="M6" s="19" t="s">
        <v>39</v>
      </c>
      <c r="N6" s="20" t="str">
        <f t="shared" si="4"/>
        <v>luED1321</v>
      </c>
      <c r="O6" t="str">
        <f t="shared" si="5"/>
        <v>luED1321HTCSTR0</v>
      </c>
      <c r="P6" s="20" t="str">
        <f>K6&amp;"."&amp;L6&amp;"@gmail.com"</f>
        <v>luis.Escobar@gmail.com</v>
      </c>
      <c r="Q6" t="str">
        <f t="shared" si="6"/>
        <v>656  71321</v>
      </c>
      <c r="R6" t="s">
        <v>53</v>
      </c>
      <c r="Y6">
        <v>0</v>
      </c>
      <c r="Z6" t="str">
        <f t="shared" si="7"/>
        <v>MED-3</v>
      </c>
      <c r="AA6" s="11" t="str">
        <f t="shared" si="0"/>
        <v>EXECUTE [dbo].[PG_CI_CLIENTE] 0, 0, 3, 'luisEscobar', 'luiEsc', 7, 1,1 ,3, 2, 1, 'luis', 'Escobar', 'De Leon', 'luED1321', 'luED1321HTCSTR0', 'luis.Escobar@gmail.com', '656  71321', 'Av. Independencia','','','','','','', 0,'MED-3';</v>
      </c>
    </row>
    <row r="7" spans="2:27" x14ac:dyDescent="0.25">
      <c r="B7" s="18">
        <f t="shared" si="8"/>
        <v>4</v>
      </c>
      <c r="C7" t="str">
        <f t="shared" si="1"/>
        <v>marioDominguez</v>
      </c>
      <c r="D7" t="str">
        <f t="shared" si="2"/>
        <v>marDom</v>
      </c>
      <c r="E7" s="17">
        <f t="shared" si="3"/>
        <v>6</v>
      </c>
      <c r="F7" s="18">
        <v>0</v>
      </c>
      <c r="G7" s="4">
        <v>1</v>
      </c>
      <c r="H7" s="18">
        <v>2</v>
      </c>
      <c r="I7" s="18">
        <v>3</v>
      </c>
      <c r="J7" s="4">
        <v>1</v>
      </c>
      <c r="K7" s="19" t="s">
        <v>58</v>
      </c>
      <c r="L7" s="19" t="s">
        <v>36</v>
      </c>
      <c r="M7" s="19" t="s">
        <v>40</v>
      </c>
      <c r="N7" s="20" t="str">
        <f t="shared" si="4"/>
        <v>maDJ0231</v>
      </c>
      <c r="O7" t="str">
        <f t="shared" si="5"/>
        <v>maDJ0231HTCSTR0</v>
      </c>
      <c r="P7" s="20" t="str">
        <f>K7&amp;"."&amp;L7&amp;"@gmail.com"</f>
        <v>mario.Dominguez@gmail.com</v>
      </c>
      <c r="Q7" t="str">
        <f t="shared" si="6"/>
        <v>656  60231</v>
      </c>
      <c r="R7" t="s">
        <v>54</v>
      </c>
      <c r="Y7">
        <v>0</v>
      </c>
      <c r="Z7" t="str">
        <f t="shared" si="7"/>
        <v>MED-4</v>
      </c>
      <c r="AA7" s="11" t="str">
        <f t="shared" si="0"/>
        <v>EXECUTE [dbo].[PG_CI_CLIENTE] 0, 0, 4, 'marioDominguez', 'marDom', 6, 0,1 ,2, 3, 1, 'mario', 'Dominguez', 'Juarez', 'maDJ0231', 'maDJ0231HTCSTR0', 'mario.Dominguez@gmail.com', '656  60231', 'Av. Gomez Morin','','','','','','', 0,'MED-4';</v>
      </c>
    </row>
    <row r="8" spans="2:27" x14ac:dyDescent="0.25">
      <c r="B8" s="18">
        <f t="shared" si="8"/>
        <v>5</v>
      </c>
      <c r="C8" t="str">
        <f t="shared" si="1"/>
        <v>betyLopez</v>
      </c>
      <c r="D8" t="str">
        <f t="shared" si="2"/>
        <v>betLop</v>
      </c>
      <c r="E8" s="17">
        <f t="shared" si="3"/>
        <v>10</v>
      </c>
      <c r="F8" s="18">
        <v>1</v>
      </c>
      <c r="G8" s="4">
        <v>1</v>
      </c>
      <c r="H8" s="16">
        <f>H4</f>
        <v>4</v>
      </c>
      <c r="I8" s="18">
        <v>4</v>
      </c>
      <c r="J8" s="4">
        <v>1</v>
      </c>
      <c r="K8" s="19" t="s">
        <v>59</v>
      </c>
      <c r="L8" s="19" t="s">
        <v>62</v>
      </c>
      <c r="M8" s="19" t="s">
        <v>77</v>
      </c>
      <c r="N8" s="20" t="str">
        <f t="shared" si="4"/>
        <v>beLz1441</v>
      </c>
      <c r="O8" t="str">
        <f t="shared" si="5"/>
        <v>beLz1441HTCSTR0</v>
      </c>
      <c r="P8" s="20" t="str">
        <f t="shared" ref="P8:P71" si="9">K8&amp;"."&amp;L8&amp;"@gmail.com"</f>
        <v>bety.Lopez@gmail.com</v>
      </c>
      <c r="Q8" t="str">
        <f t="shared" si="6"/>
        <v>656  101441</v>
      </c>
      <c r="R8" t="s">
        <v>79</v>
      </c>
      <c r="Y8">
        <v>0</v>
      </c>
      <c r="Z8" t="str">
        <f t="shared" si="7"/>
        <v>MED-5</v>
      </c>
      <c r="AA8" s="11" t="str">
        <f t="shared" si="0"/>
        <v>EXECUTE [dbo].[PG_CI_CLIENTE] 0, 0, 5, 'betyLopez', 'betLop', 10, 1,1 ,4, 4, 1, 'bety', 'Lopez', 'zamarripa', 'beLz1441', 'beLz1441HTCSTR0', 'bety.Lopez@gmail.com', '656  101441', 'Paraje San Isidro','','','','','','', 0,'MED-5';</v>
      </c>
    </row>
    <row r="9" spans="2:27" x14ac:dyDescent="0.25">
      <c r="B9" s="18">
        <f t="shared" si="8"/>
        <v>6</v>
      </c>
      <c r="C9" t="str">
        <f t="shared" si="1"/>
        <v>mariasandoval</v>
      </c>
      <c r="D9" t="str">
        <f t="shared" si="2"/>
        <v>marsan</v>
      </c>
      <c r="E9" s="17">
        <f t="shared" si="3"/>
        <v>8</v>
      </c>
      <c r="F9" s="18">
        <v>1</v>
      </c>
      <c r="G9" s="4">
        <v>1</v>
      </c>
      <c r="H9" s="16">
        <f t="shared" ref="H9:H72" si="10">H5</f>
        <v>1</v>
      </c>
      <c r="I9" s="18">
        <v>5</v>
      </c>
      <c r="J9" s="4">
        <v>1</v>
      </c>
      <c r="K9" s="19" t="s">
        <v>60</v>
      </c>
      <c r="L9" s="19" t="s">
        <v>63</v>
      </c>
      <c r="M9" s="19" t="s">
        <v>76</v>
      </c>
      <c r="N9" s="20" t="str">
        <f t="shared" si="4"/>
        <v>mast1151</v>
      </c>
      <c r="O9" t="str">
        <f t="shared" si="5"/>
        <v>mast1151HTCSTR0</v>
      </c>
      <c r="P9" s="20" t="str">
        <f t="shared" si="9"/>
        <v>maria.sandoval@gmail.com</v>
      </c>
      <c r="Q9" t="str">
        <f t="shared" si="6"/>
        <v>656  81151</v>
      </c>
      <c r="R9" t="s">
        <v>80</v>
      </c>
      <c r="Y9">
        <v>0</v>
      </c>
      <c r="Z9" t="str">
        <f t="shared" si="7"/>
        <v>MED-6</v>
      </c>
      <c r="AA9" s="11" t="str">
        <f t="shared" si="0"/>
        <v>EXECUTE [dbo].[PG_CI_CLIENTE] 0, 0, 6, 'mariasandoval', 'marsan', 8, 1,1 ,1, 5, 1, 'maria', 'sandoval', 'tarango', 'mast1151', 'mast1151HTCSTR0', 'maria.sandoval@gmail.com', '656  81151', 'San Pancho','','','','','','', 0,'MED-6';</v>
      </c>
    </row>
    <row r="10" spans="2:27" x14ac:dyDescent="0.25">
      <c r="B10" s="18">
        <f t="shared" si="8"/>
        <v>7</v>
      </c>
      <c r="C10" t="str">
        <f t="shared" si="1"/>
        <v>renataperez</v>
      </c>
      <c r="D10" t="str">
        <f t="shared" si="2"/>
        <v>renper</v>
      </c>
      <c r="E10" s="17">
        <f t="shared" si="3"/>
        <v>9</v>
      </c>
      <c r="F10" s="17">
        <f>F4</f>
        <v>0</v>
      </c>
      <c r="G10" s="4">
        <v>1</v>
      </c>
      <c r="H10" s="16">
        <f t="shared" si="10"/>
        <v>3</v>
      </c>
      <c r="I10" s="18">
        <v>5</v>
      </c>
      <c r="J10" s="4">
        <v>1</v>
      </c>
      <c r="K10" s="19" t="s">
        <v>61</v>
      </c>
      <c r="L10" s="19" t="s">
        <v>64</v>
      </c>
      <c r="M10" s="19" t="s">
        <v>75</v>
      </c>
      <c r="N10" s="20" t="str">
        <f t="shared" si="4"/>
        <v>repc0351</v>
      </c>
      <c r="O10" t="str">
        <f t="shared" si="5"/>
        <v>repc0351HTCSTR0</v>
      </c>
      <c r="P10" s="20" t="str">
        <f t="shared" si="9"/>
        <v>renata.perez@gmail.com</v>
      </c>
      <c r="Q10" t="str">
        <f t="shared" si="6"/>
        <v>656  90351</v>
      </c>
      <c r="R10" t="s">
        <v>81</v>
      </c>
      <c r="Y10">
        <v>0</v>
      </c>
      <c r="Z10" t="str">
        <f t="shared" si="7"/>
        <v>MED-7</v>
      </c>
      <c r="AA10" s="11" t="str">
        <f t="shared" si="0"/>
        <v>EXECUTE [dbo].[PG_CI_CLIENTE] 0, 0, 7, 'renataperez', 'renper', 9, 0,1 ,3, 5, 1, 'renata', 'perez', 'cordero', 'repc0351', 'repc0351HTCSTR0', 'renata.perez@gmail.com', '656  90351', 'Yepomera','','','','','','', 0,'MED-7';</v>
      </c>
    </row>
    <row r="11" spans="2:27" x14ac:dyDescent="0.25">
      <c r="B11" s="18">
        <f t="shared" si="8"/>
        <v>8</v>
      </c>
      <c r="C11" t="str">
        <f t="shared" si="1"/>
        <v>juanmartinez</v>
      </c>
      <c r="D11" t="str">
        <f t="shared" si="2"/>
        <v>juamar</v>
      </c>
      <c r="E11" s="17">
        <f t="shared" si="3"/>
        <v>9</v>
      </c>
      <c r="F11" s="21">
        <f t="shared" ref="F11:F72" si="11">F5</f>
        <v>1</v>
      </c>
      <c r="G11" s="4">
        <v>1</v>
      </c>
      <c r="H11" s="16">
        <f t="shared" si="10"/>
        <v>2</v>
      </c>
      <c r="I11" s="18">
        <v>5</v>
      </c>
      <c r="J11" s="4">
        <v>1</v>
      </c>
      <c r="K11" s="14" t="str">
        <f>K4</f>
        <v>juan</v>
      </c>
      <c r="L11" s="19" t="s">
        <v>68</v>
      </c>
      <c r="M11" s="19" t="s">
        <v>74</v>
      </c>
      <c r="N11" s="20" t="str">
        <f t="shared" si="4"/>
        <v>jump1251</v>
      </c>
      <c r="O11" t="str">
        <f t="shared" si="5"/>
        <v>jump1251HTCSTR0</v>
      </c>
      <c r="P11" s="20" t="str">
        <f t="shared" si="9"/>
        <v>juan.martinez@gmail.com</v>
      </c>
      <c r="Q11" t="str">
        <f t="shared" si="6"/>
        <v>656  91251</v>
      </c>
      <c r="R11" t="s">
        <v>82</v>
      </c>
      <c r="Y11">
        <v>0</v>
      </c>
      <c r="Z11" t="str">
        <f t="shared" si="7"/>
        <v>MED-8</v>
      </c>
      <c r="AA11" s="11" t="str">
        <f t="shared" si="0"/>
        <v>EXECUTE [dbo].[PG_CI_CLIENTE] 0, 0, 8, 'juanmartinez', 'juamar', 9, 1,1 ,2, 5, 1, 'juan', 'martinez', 'portillo', 'jump1251', 'jump1251HTCSTR0', 'juan.martinez@gmail.com', '656  91251', 'Oscar Flores','','','','','','', 0,'MED-8';</v>
      </c>
    </row>
    <row r="12" spans="2:27" x14ac:dyDescent="0.25">
      <c r="B12" s="18">
        <f t="shared" si="8"/>
        <v>9</v>
      </c>
      <c r="C12" t="str">
        <f t="shared" si="1"/>
        <v>pedroescailla</v>
      </c>
      <c r="D12" t="str">
        <f t="shared" si="2"/>
        <v>pedesc</v>
      </c>
      <c r="E12" s="17">
        <f t="shared" si="3"/>
        <v>12</v>
      </c>
      <c r="F12" s="17">
        <f t="shared" si="11"/>
        <v>1</v>
      </c>
      <c r="G12" s="4">
        <v>1</v>
      </c>
      <c r="H12" s="16">
        <f t="shared" si="10"/>
        <v>4</v>
      </c>
      <c r="I12" s="18">
        <v>6</v>
      </c>
      <c r="J12" s="4">
        <v>1</v>
      </c>
      <c r="K12" s="14" t="str">
        <f t="shared" ref="K12:K22" si="12">K5</f>
        <v>pedro</v>
      </c>
      <c r="L12" s="19" t="s">
        <v>67</v>
      </c>
      <c r="M12" s="19" t="s">
        <v>73</v>
      </c>
      <c r="N12" s="20" t="str">
        <f t="shared" si="4"/>
        <v>peeb1461</v>
      </c>
      <c r="O12" t="str">
        <f t="shared" si="5"/>
        <v>peeb1461HTCSTR0</v>
      </c>
      <c r="P12" s="20" t="str">
        <f t="shared" si="9"/>
        <v>pedro.escailla@gmail.com</v>
      </c>
      <c r="Q12" t="str">
        <f t="shared" si="6"/>
        <v>656  121461</v>
      </c>
      <c r="R12" t="s">
        <v>83</v>
      </c>
      <c r="Y12">
        <v>0</v>
      </c>
      <c r="Z12" t="str">
        <f t="shared" si="7"/>
        <v>MED-9</v>
      </c>
      <c r="AA12" s="11" t="str">
        <f t="shared" si="0"/>
        <v>EXECUTE [dbo].[PG_CI_CLIENTE] 0, 0, 9, 'pedroescailla', 'pedesc', 12, 1,1 ,4, 6, 1, 'pedro', 'escailla', 'barraza', 'peeb1461', 'peeb1461HTCSTR0', 'pedro.escailla@gmail.com', '656  121461', 'Panamericana','','','','','','', 0,'MED-9';</v>
      </c>
    </row>
    <row r="13" spans="2:27" x14ac:dyDescent="0.25">
      <c r="B13" s="18">
        <f t="shared" si="8"/>
        <v>10</v>
      </c>
      <c r="C13" t="str">
        <f t="shared" si="1"/>
        <v>luisarreola</v>
      </c>
      <c r="D13" t="str">
        <f t="shared" si="2"/>
        <v>luiarr</v>
      </c>
      <c r="E13" s="17">
        <f t="shared" si="3"/>
        <v>8</v>
      </c>
      <c r="F13" s="17">
        <f t="shared" si="11"/>
        <v>0</v>
      </c>
      <c r="G13" s="4">
        <v>1</v>
      </c>
      <c r="H13" s="16">
        <f t="shared" si="10"/>
        <v>1</v>
      </c>
      <c r="I13" s="18">
        <v>6</v>
      </c>
      <c r="J13" s="4">
        <v>1</v>
      </c>
      <c r="K13" s="14" t="str">
        <f t="shared" si="12"/>
        <v>luis</v>
      </c>
      <c r="L13" s="19" t="s">
        <v>66</v>
      </c>
      <c r="M13" s="19" t="s">
        <v>72</v>
      </c>
      <c r="N13" s="20" t="str">
        <f t="shared" si="4"/>
        <v>luas0161</v>
      </c>
      <c r="O13" t="str">
        <f t="shared" si="5"/>
        <v>luas0161HTCSTR0</v>
      </c>
      <c r="P13" s="20" t="str">
        <f t="shared" si="9"/>
        <v>luis.arreola@gmail.com</v>
      </c>
      <c r="Q13" t="str">
        <f t="shared" si="6"/>
        <v>656  80161</v>
      </c>
      <c r="R13" t="s">
        <v>84</v>
      </c>
      <c r="Y13">
        <v>0</v>
      </c>
      <c r="Z13" t="str">
        <f t="shared" si="7"/>
        <v>MED-10</v>
      </c>
      <c r="AA13" s="11" t="str">
        <f t="shared" si="0"/>
        <v>EXECUTE [dbo].[PG_CI_CLIENTE] 0, 0, 10, 'luisarreola', 'luiarr', 8, 0,1 ,1, 6, 1, 'luis', 'arreola', 'salgado', 'luas0161', 'luas0161HTCSTR0', 'luis.arreola@gmail.com', '656  80161', 'Zaragoza','','','','','','', 0,'MED-10';</v>
      </c>
    </row>
    <row r="14" spans="2:27" x14ac:dyDescent="0.25">
      <c r="B14" s="18">
        <f t="shared" si="8"/>
        <v>11</v>
      </c>
      <c r="C14" t="str">
        <f t="shared" si="1"/>
        <v>mariogonzalez</v>
      </c>
      <c r="D14" t="str">
        <f t="shared" si="2"/>
        <v>margon</v>
      </c>
      <c r="E14" s="17">
        <f t="shared" si="3"/>
        <v>12</v>
      </c>
      <c r="F14" s="17">
        <f t="shared" si="11"/>
        <v>1</v>
      </c>
      <c r="G14" s="4">
        <v>1</v>
      </c>
      <c r="H14" s="16">
        <f t="shared" si="10"/>
        <v>3</v>
      </c>
      <c r="I14" s="18">
        <v>7</v>
      </c>
      <c r="J14" s="4">
        <v>1</v>
      </c>
      <c r="K14" s="14" t="str">
        <f t="shared" si="12"/>
        <v>mario</v>
      </c>
      <c r="L14" s="19" t="s">
        <v>65</v>
      </c>
      <c r="M14" s="19" t="s">
        <v>71</v>
      </c>
      <c r="N14" s="20" t="str">
        <f t="shared" si="4"/>
        <v>magz1371</v>
      </c>
      <c r="O14" t="str">
        <f t="shared" si="5"/>
        <v>magz1371HTCSTR0</v>
      </c>
      <c r="P14" s="20" t="str">
        <f t="shared" si="9"/>
        <v>mario.gonzalez@gmail.com</v>
      </c>
      <c r="Q14" t="str">
        <f t="shared" si="6"/>
        <v>656  121371</v>
      </c>
      <c r="R14" t="s">
        <v>85</v>
      </c>
      <c r="Y14">
        <v>0</v>
      </c>
      <c r="Z14" t="str">
        <f t="shared" si="7"/>
        <v>MED-11</v>
      </c>
      <c r="AA14" s="11" t="str">
        <f t="shared" si="0"/>
        <v>EXECUTE [dbo].[PG_CI_CLIENTE] 0, 0, 11, 'mariogonzalez', 'margon', 12, 1,1 ,3, 7, 1, 'mario', 'gonzalez', 'zamarron', 'magz1371', 'magz1371HTCSTR0', 'mario.gonzalez@gmail.com', '656  121371', 'Porvenir','','','','','','', 0,'MED-11';</v>
      </c>
    </row>
    <row r="15" spans="2:27" x14ac:dyDescent="0.25">
      <c r="B15" s="18">
        <f t="shared" si="8"/>
        <v>12</v>
      </c>
      <c r="C15" t="str">
        <f t="shared" si="1"/>
        <v>betyEsteban</v>
      </c>
      <c r="D15" t="str">
        <f t="shared" si="2"/>
        <v>betEst</v>
      </c>
      <c r="E15" s="17">
        <f t="shared" si="3"/>
        <v>11</v>
      </c>
      <c r="F15" s="17">
        <f t="shared" si="11"/>
        <v>1</v>
      </c>
      <c r="G15" s="4">
        <v>1</v>
      </c>
      <c r="H15" s="16">
        <f t="shared" si="10"/>
        <v>2</v>
      </c>
      <c r="I15" s="18">
        <v>7</v>
      </c>
      <c r="J15" s="4">
        <v>1</v>
      </c>
      <c r="K15" s="14" t="str">
        <f t="shared" si="12"/>
        <v>bety</v>
      </c>
      <c r="L15" s="14" t="str">
        <f>L4</f>
        <v>Esteban</v>
      </c>
      <c r="M15" s="19" t="s">
        <v>70</v>
      </c>
      <c r="N15" s="20" t="str">
        <f t="shared" si="4"/>
        <v>beEp1271</v>
      </c>
      <c r="O15" t="str">
        <f t="shared" si="5"/>
        <v>beEp1271HTCSTR0</v>
      </c>
      <c r="P15" s="20" t="str">
        <f t="shared" si="9"/>
        <v>bety.Esteban@gmail.com</v>
      </c>
      <c r="Q15" t="str">
        <f t="shared" si="6"/>
        <v>656  111271</v>
      </c>
      <c r="R15" t="s">
        <v>86</v>
      </c>
      <c r="Y15">
        <v>0</v>
      </c>
      <c r="Z15" t="str">
        <f t="shared" si="7"/>
        <v>MED-12</v>
      </c>
      <c r="AA15" s="11" t="str">
        <f t="shared" si="0"/>
        <v>EXECUTE [dbo].[PG_CI_CLIENTE] 0, 0, 12, 'betyEsteban', 'betEst', 11, 1,1 ,2, 7, 1, 'bety', 'Esteban', 'p4edroza', 'beEp1271', 'beEp1271HTCSTR0', 'bety.Esteban@gmail.com', '656  111271', 'Henequen','','','','','','', 0,'MED-12';</v>
      </c>
    </row>
    <row r="16" spans="2:27" x14ac:dyDescent="0.25">
      <c r="B16" s="18">
        <f t="shared" si="8"/>
        <v>13</v>
      </c>
      <c r="C16" t="str">
        <f t="shared" si="1"/>
        <v>mariaPaz</v>
      </c>
      <c r="D16" t="str">
        <f t="shared" si="2"/>
        <v>marPaz</v>
      </c>
      <c r="E16" s="17">
        <f t="shared" si="3"/>
        <v>12</v>
      </c>
      <c r="F16" s="17">
        <f t="shared" si="11"/>
        <v>0</v>
      </c>
      <c r="G16" s="4">
        <v>1</v>
      </c>
      <c r="H16" s="16">
        <f t="shared" si="10"/>
        <v>4</v>
      </c>
      <c r="I16" s="18">
        <v>7</v>
      </c>
      <c r="J16" s="4">
        <v>1</v>
      </c>
      <c r="K16" s="14" t="str">
        <f t="shared" si="12"/>
        <v>maria</v>
      </c>
      <c r="L16" s="14" t="str">
        <f t="shared" ref="L16:L22" si="13">L5</f>
        <v>Paz</v>
      </c>
      <c r="M16" s="19" t="s">
        <v>69</v>
      </c>
      <c r="N16" s="20" t="str">
        <f t="shared" si="4"/>
        <v>maPn0471</v>
      </c>
      <c r="O16" t="str">
        <f t="shared" si="5"/>
        <v>maPn0471HTCSTR0</v>
      </c>
      <c r="P16" s="20" t="str">
        <f t="shared" si="9"/>
        <v>maria.Paz@gmail.com</v>
      </c>
      <c r="Q16" t="str">
        <f t="shared" si="6"/>
        <v>656  120471</v>
      </c>
      <c r="R16" t="s">
        <v>87</v>
      </c>
      <c r="Y16">
        <v>0</v>
      </c>
      <c r="Z16" t="str">
        <f t="shared" si="7"/>
        <v>MED-13</v>
      </c>
      <c r="AA16" s="11" t="str">
        <f t="shared" si="0"/>
        <v>EXECUTE [dbo].[PG_CI_CLIENTE] 0, 0, 13, 'mariaPaz', 'marPaz', 12, 0,1 ,4, 7, 1, 'maria', 'Paz', 'narvaez', 'maPn0471', 'maPn0471HTCSTR0', 'maria.Paz@gmail.com', '656  120471', 'Ejercito Nacional','','','','','','', 0,'MED-13';</v>
      </c>
    </row>
    <row r="17" spans="2:27" x14ac:dyDescent="0.25">
      <c r="B17" s="18">
        <f t="shared" si="8"/>
        <v>14</v>
      </c>
      <c r="C17" t="str">
        <f t="shared" si="1"/>
        <v>renataEscobar</v>
      </c>
      <c r="D17" t="str">
        <f t="shared" si="2"/>
        <v>renEsc</v>
      </c>
      <c r="E17" s="17">
        <f t="shared" si="3"/>
        <v>10</v>
      </c>
      <c r="F17" s="17">
        <f t="shared" si="11"/>
        <v>1</v>
      </c>
      <c r="G17" s="17">
        <v>1</v>
      </c>
      <c r="H17" s="16">
        <f t="shared" si="10"/>
        <v>1</v>
      </c>
      <c r="I17" s="18">
        <v>7</v>
      </c>
      <c r="J17" s="4">
        <v>1</v>
      </c>
      <c r="K17" s="14" t="str">
        <f t="shared" si="12"/>
        <v>renata</v>
      </c>
      <c r="L17" s="14" t="str">
        <f t="shared" si="13"/>
        <v>Escobar</v>
      </c>
      <c r="M17" s="14" t="str">
        <f>M4</f>
        <v>Gutierres</v>
      </c>
      <c r="N17" s="20" t="str">
        <f t="shared" si="4"/>
        <v>reEG1171</v>
      </c>
      <c r="O17" t="str">
        <f t="shared" si="5"/>
        <v>reEG1171HTCSTR0</v>
      </c>
      <c r="P17" s="20" t="str">
        <f t="shared" si="9"/>
        <v>renata.Escobar@gmail.com</v>
      </c>
      <c r="Q17" t="str">
        <f t="shared" si="6"/>
        <v>656  101171</v>
      </c>
      <c r="R17" t="s">
        <v>51</v>
      </c>
      <c r="Y17">
        <v>0</v>
      </c>
      <c r="Z17" t="str">
        <f t="shared" si="7"/>
        <v>MED-14</v>
      </c>
      <c r="AA17" s="11" t="str">
        <f t="shared" si="0"/>
        <v>EXECUTE [dbo].[PG_CI_CLIENTE] 0, 0, 14, 'renataEscobar', 'renEsc', 10, 1,1 ,1, 7, 1, 'renata', 'Escobar', 'Gutierres', 'reEG1171', 'reEG1171HTCSTR0', 'renata.Escobar@gmail.com', '656  101171', 'Av. Las torres','','','','','','', 0,'MED-14';</v>
      </c>
    </row>
    <row r="18" spans="2:27" x14ac:dyDescent="0.25">
      <c r="B18" s="18">
        <f t="shared" si="8"/>
        <v>15</v>
      </c>
      <c r="C18" t="str">
        <f t="shared" si="1"/>
        <v>juanDominguez</v>
      </c>
      <c r="D18" t="str">
        <f t="shared" si="2"/>
        <v>juaDom</v>
      </c>
      <c r="E18" s="17">
        <f t="shared" si="3"/>
        <v>13</v>
      </c>
      <c r="F18" s="17">
        <f t="shared" si="11"/>
        <v>1</v>
      </c>
      <c r="G18" s="17">
        <v>1</v>
      </c>
      <c r="H18" s="16">
        <f t="shared" si="10"/>
        <v>3</v>
      </c>
      <c r="I18" s="18">
        <v>8</v>
      </c>
      <c r="J18" s="4">
        <v>1</v>
      </c>
      <c r="K18" s="14" t="str">
        <f t="shared" si="12"/>
        <v>juan</v>
      </c>
      <c r="L18" s="14" t="str">
        <f t="shared" si="13"/>
        <v>Dominguez</v>
      </c>
      <c r="M18" s="14" t="str">
        <f t="shared" ref="M18:M72" si="14">M5</f>
        <v>Perez</v>
      </c>
      <c r="N18" s="20" t="str">
        <f t="shared" si="4"/>
        <v>juDP1381</v>
      </c>
      <c r="O18" t="str">
        <f t="shared" si="5"/>
        <v>juDP1381HTCSTR0</v>
      </c>
      <c r="P18" s="20" t="str">
        <f t="shared" si="9"/>
        <v>juan.Dominguez@gmail.com</v>
      </c>
      <c r="Q18" t="str">
        <f t="shared" si="6"/>
        <v>656  131381</v>
      </c>
      <c r="R18" t="s">
        <v>52</v>
      </c>
      <c r="Y18">
        <v>0</v>
      </c>
      <c r="Z18" t="str">
        <f t="shared" si="7"/>
        <v>MED-15</v>
      </c>
      <c r="AA18" s="11" t="str">
        <f t="shared" si="0"/>
        <v>EXECUTE [dbo].[PG_CI_CLIENTE] 0, 0, 15, 'juanDominguez', 'juaDom', 13, 1,1 ,3, 8, 1, 'juan', 'Dominguez', 'Perez', 'juDP1381', 'juDP1381HTCSTR0', 'juan.Dominguez@gmail.com', '656  131381', 'Av. Talamas camanadari','','','','','','', 0,'MED-15';</v>
      </c>
    </row>
    <row r="19" spans="2:27" x14ac:dyDescent="0.25">
      <c r="B19" s="18">
        <f t="shared" si="8"/>
        <v>16</v>
      </c>
      <c r="C19" t="str">
        <f t="shared" si="1"/>
        <v>pedroLopez</v>
      </c>
      <c r="D19" t="str">
        <f t="shared" si="2"/>
        <v>pedLop</v>
      </c>
      <c r="E19" s="17">
        <f t="shared" si="3"/>
        <v>11</v>
      </c>
      <c r="F19" s="17">
        <f t="shared" si="11"/>
        <v>0</v>
      </c>
      <c r="G19" s="17">
        <v>1</v>
      </c>
      <c r="H19" s="16">
        <f t="shared" si="10"/>
        <v>2</v>
      </c>
      <c r="I19" s="18">
        <v>8</v>
      </c>
      <c r="J19" s="4">
        <v>1</v>
      </c>
      <c r="K19" s="14" t="str">
        <f t="shared" si="12"/>
        <v>pedro</v>
      </c>
      <c r="L19" s="14" t="str">
        <f t="shared" si="13"/>
        <v>Lopez</v>
      </c>
      <c r="M19" s="14" t="str">
        <f t="shared" si="14"/>
        <v>De Leon</v>
      </c>
      <c r="N19" s="20" t="str">
        <f t="shared" si="4"/>
        <v>peLD0281</v>
      </c>
      <c r="O19" t="str">
        <f t="shared" si="5"/>
        <v>peLD0281HTCSTR0</v>
      </c>
      <c r="P19" s="20" t="str">
        <f t="shared" si="9"/>
        <v>pedro.Lopez@gmail.com</v>
      </c>
      <c r="Q19" t="str">
        <f t="shared" si="6"/>
        <v>656  110281</v>
      </c>
      <c r="R19" t="s">
        <v>53</v>
      </c>
      <c r="Y19">
        <v>0</v>
      </c>
      <c r="Z19" t="str">
        <f t="shared" si="7"/>
        <v>MED-16</v>
      </c>
      <c r="AA19" s="11" t="str">
        <f t="shared" si="0"/>
        <v>EXECUTE [dbo].[PG_CI_CLIENTE] 0, 0, 16, 'pedroLopez', 'pedLop', 11, 0,1 ,2, 8, 1, 'pedro', 'Lopez', 'De Leon', 'peLD0281', 'peLD0281HTCSTR0', 'pedro.Lopez@gmail.com', '656  110281', 'Av. Independencia','','','','','','', 0,'MED-16';</v>
      </c>
    </row>
    <row r="20" spans="2:27" x14ac:dyDescent="0.25">
      <c r="B20" s="18">
        <f t="shared" si="8"/>
        <v>17</v>
      </c>
      <c r="C20" t="str">
        <f t="shared" si="1"/>
        <v>luissandoval</v>
      </c>
      <c r="D20" t="str">
        <f t="shared" si="2"/>
        <v>luisan</v>
      </c>
      <c r="E20" s="17">
        <f t="shared" si="3"/>
        <v>15</v>
      </c>
      <c r="F20" s="17">
        <f t="shared" si="11"/>
        <v>1</v>
      </c>
      <c r="G20" s="17">
        <v>1</v>
      </c>
      <c r="H20" s="16">
        <f t="shared" si="10"/>
        <v>4</v>
      </c>
      <c r="I20" s="18">
        <v>9</v>
      </c>
      <c r="J20" s="4">
        <v>1</v>
      </c>
      <c r="K20" s="14" t="str">
        <f t="shared" si="12"/>
        <v>luis</v>
      </c>
      <c r="L20" s="14" t="str">
        <f t="shared" si="13"/>
        <v>sandoval</v>
      </c>
      <c r="M20" s="14" t="str">
        <f t="shared" si="14"/>
        <v>Juarez</v>
      </c>
      <c r="N20" s="20" t="str">
        <f t="shared" si="4"/>
        <v>lusJ1491</v>
      </c>
      <c r="O20" t="str">
        <f t="shared" si="5"/>
        <v>lusJ1491HTCSTR0</v>
      </c>
      <c r="P20" s="20" t="str">
        <f t="shared" si="9"/>
        <v>luis.sandoval@gmail.com</v>
      </c>
      <c r="Q20" t="str">
        <f t="shared" si="6"/>
        <v>656  151491</v>
      </c>
      <c r="R20" t="s">
        <v>54</v>
      </c>
      <c r="Y20">
        <v>0</v>
      </c>
      <c r="Z20" t="str">
        <f t="shared" si="7"/>
        <v>MED-17</v>
      </c>
      <c r="AA20" s="11" t="str">
        <f t="shared" si="0"/>
        <v>EXECUTE [dbo].[PG_CI_CLIENTE] 0, 0, 17, 'luissandoval', 'luisan', 15, 1,1 ,4, 9, 1, 'luis', 'sandoval', 'Juarez', 'lusJ1491', 'lusJ1491HTCSTR0', 'luis.sandoval@gmail.com', '656  151491', 'Av. Gomez Morin','','','','','','', 0,'MED-17';</v>
      </c>
    </row>
    <row r="21" spans="2:27" x14ac:dyDescent="0.25">
      <c r="B21" s="18">
        <f t="shared" si="8"/>
        <v>18</v>
      </c>
      <c r="C21" t="str">
        <f t="shared" si="1"/>
        <v>marioperez</v>
      </c>
      <c r="D21" t="str">
        <f t="shared" si="2"/>
        <v>marper</v>
      </c>
      <c r="E21" s="17">
        <f t="shared" si="3"/>
        <v>4</v>
      </c>
      <c r="F21" s="17">
        <f t="shared" si="11"/>
        <v>1</v>
      </c>
      <c r="G21" s="21">
        <v>1</v>
      </c>
      <c r="H21" s="16">
        <f t="shared" si="10"/>
        <v>1</v>
      </c>
      <c r="I21" s="17">
        <f>I4</f>
        <v>1</v>
      </c>
      <c r="J21" s="4">
        <v>1</v>
      </c>
      <c r="K21" s="14" t="str">
        <f t="shared" si="12"/>
        <v>mario</v>
      </c>
      <c r="L21" s="14" t="str">
        <f t="shared" si="13"/>
        <v>perez</v>
      </c>
      <c r="M21" s="14" t="str">
        <f t="shared" si="14"/>
        <v>zamarripa</v>
      </c>
      <c r="N21" s="20" t="str">
        <f t="shared" si="4"/>
        <v>mapz1111</v>
      </c>
      <c r="O21" t="str">
        <f t="shared" si="5"/>
        <v>mapz1111HTCSTR0</v>
      </c>
      <c r="P21" s="20" t="str">
        <f t="shared" si="9"/>
        <v>mario.perez@gmail.com</v>
      </c>
      <c r="Q21" t="str">
        <f t="shared" si="6"/>
        <v>656  41111</v>
      </c>
      <c r="R21" t="s">
        <v>79</v>
      </c>
      <c r="Y21">
        <v>0</v>
      </c>
      <c r="Z21" t="str">
        <f t="shared" si="7"/>
        <v>MED-18</v>
      </c>
      <c r="AA21" s="11" t="str">
        <f t="shared" si="0"/>
        <v>EXECUTE [dbo].[PG_CI_CLIENTE] 0, 0, 18, 'marioperez', 'marper', 4, 1,1 ,1, 1, 1, 'mario', 'perez', 'zamarripa', 'mapz1111', 'mapz1111HTCSTR0', 'mario.perez@gmail.com', '656  41111', 'Paraje San Isidro','','','','','','', 0,'MED-18';</v>
      </c>
    </row>
    <row r="22" spans="2:27" x14ac:dyDescent="0.25">
      <c r="B22" s="18">
        <f t="shared" si="8"/>
        <v>19</v>
      </c>
      <c r="C22" t="str">
        <f t="shared" si="1"/>
        <v>betymartinez</v>
      </c>
      <c r="D22" t="str">
        <f t="shared" si="2"/>
        <v>betmar</v>
      </c>
      <c r="E22" s="17">
        <f t="shared" si="3"/>
        <v>6</v>
      </c>
      <c r="F22" s="17">
        <f t="shared" si="11"/>
        <v>0</v>
      </c>
      <c r="G22" s="17">
        <v>1</v>
      </c>
      <c r="H22" s="16">
        <f t="shared" si="10"/>
        <v>3</v>
      </c>
      <c r="I22" s="17">
        <f t="shared" ref="I22:I72" si="15">I5</f>
        <v>2</v>
      </c>
      <c r="J22" s="4">
        <v>1</v>
      </c>
      <c r="K22" s="14" t="str">
        <f t="shared" si="12"/>
        <v>bety</v>
      </c>
      <c r="L22" s="14" t="str">
        <f t="shared" si="13"/>
        <v>martinez</v>
      </c>
      <c r="M22" s="14" t="str">
        <f t="shared" si="14"/>
        <v>tarango</v>
      </c>
      <c r="N22" s="20" t="str">
        <f t="shared" si="4"/>
        <v>bemt0321</v>
      </c>
      <c r="O22" t="str">
        <f t="shared" si="5"/>
        <v>bemt0321HTCSTR0</v>
      </c>
      <c r="P22" s="20" t="str">
        <f t="shared" si="9"/>
        <v>bety.martinez@gmail.com</v>
      </c>
      <c r="Q22" t="str">
        <f t="shared" si="6"/>
        <v>656  60321</v>
      </c>
      <c r="R22" s="12" t="s">
        <v>80</v>
      </c>
      <c r="Y22">
        <v>0</v>
      </c>
      <c r="Z22" t="str">
        <f t="shared" si="7"/>
        <v>MED-19</v>
      </c>
      <c r="AA22" s="11" t="str">
        <f t="shared" si="0"/>
        <v>EXECUTE [dbo].[PG_CI_CLIENTE] 0, 0, 19, 'betymartinez', 'betmar', 6, 0,1 ,3, 2, 1, 'bety', 'martinez', 'tarango', 'bemt0321', 'bemt0321HTCSTR0', 'bety.martinez@gmail.com', '656  60321', 'San Pancho','','','','','','', 0,'MED-19';</v>
      </c>
    </row>
    <row r="23" spans="2:27" x14ac:dyDescent="0.25">
      <c r="B23" s="18">
        <f t="shared" si="8"/>
        <v>20</v>
      </c>
      <c r="C23" t="str">
        <f t="shared" si="1"/>
        <v>mariaescailla</v>
      </c>
      <c r="D23" t="str">
        <f t="shared" si="2"/>
        <v>maresc</v>
      </c>
      <c r="E23" s="17">
        <f t="shared" si="3"/>
        <v>6</v>
      </c>
      <c r="F23" s="17">
        <f t="shared" si="11"/>
        <v>1</v>
      </c>
      <c r="G23" s="17">
        <v>1</v>
      </c>
      <c r="H23" s="16">
        <f t="shared" si="10"/>
        <v>2</v>
      </c>
      <c r="I23" s="17">
        <f t="shared" si="15"/>
        <v>2</v>
      </c>
      <c r="J23" s="4">
        <v>1</v>
      </c>
      <c r="K23" s="14" t="str">
        <f t="shared" ref="K23" si="16">K16</f>
        <v>maria</v>
      </c>
      <c r="L23" s="14" t="str">
        <f t="shared" ref="L23" si="17">L12</f>
        <v>escailla</v>
      </c>
      <c r="M23" s="14" t="str">
        <f t="shared" si="14"/>
        <v>cordero</v>
      </c>
      <c r="N23" s="20" t="str">
        <f t="shared" si="4"/>
        <v>maec1221</v>
      </c>
      <c r="O23" t="str">
        <f t="shared" si="5"/>
        <v>maec1221HTCSTR0</v>
      </c>
      <c r="P23" s="20" t="str">
        <f t="shared" si="9"/>
        <v>maria.escailla@gmail.com</v>
      </c>
      <c r="Q23" t="str">
        <f t="shared" si="6"/>
        <v>656  61221</v>
      </c>
      <c r="R23" t="s">
        <v>81</v>
      </c>
      <c r="Y23">
        <v>0</v>
      </c>
      <c r="Z23" t="str">
        <f t="shared" si="7"/>
        <v>MED-20</v>
      </c>
      <c r="AA23" s="11" t="str">
        <f t="shared" si="0"/>
        <v>EXECUTE [dbo].[PG_CI_CLIENTE] 0, 0, 20, 'mariaescailla', 'maresc', 6, 1,1 ,2, 2, 1, 'maria', 'escailla', 'cordero', 'maec1221', 'maec1221HTCSTR0', 'maria.escailla@gmail.com', '656  61221', 'Yepomera','','','','','','', 0,'MED-20';</v>
      </c>
    </row>
    <row r="24" spans="2:27" x14ac:dyDescent="0.25">
      <c r="B24" s="18">
        <f t="shared" si="8"/>
        <v>21</v>
      </c>
      <c r="C24" t="str">
        <f t="shared" si="1"/>
        <v>renataarreola</v>
      </c>
      <c r="D24" t="str">
        <f t="shared" si="2"/>
        <v>renarr</v>
      </c>
      <c r="E24" s="17">
        <f t="shared" si="3"/>
        <v>9</v>
      </c>
      <c r="F24" s="17">
        <f t="shared" si="11"/>
        <v>1</v>
      </c>
      <c r="G24" s="17">
        <v>1</v>
      </c>
      <c r="H24" s="16">
        <f t="shared" si="10"/>
        <v>4</v>
      </c>
      <c r="I24" s="17">
        <f t="shared" si="15"/>
        <v>3</v>
      </c>
      <c r="J24" s="4">
        <v>1</v>
      </c>
      <c r="K24" s="14" t="str">
        <f t="shared" ref="K24" si="18">K17</f>
        <v>renata</v>
      </c>
      <c r="L24" s="14" t="str">
        <f t="shared" ref="L24" si="19">L13</f>
        <v>arreola</v>
      </c>
      <c r="M24" s="14" t="str">
        <f t="shared" si="14"/>
        <v>portillo</v>
      </c>
      <c r="N24" s="20" t="str">
        <f t="shared" si="4"/>
        <v>reap1431</v>
      </c>
      <c r="O24" t="str">
        <f t="shared" si="5"/>
        <v>reap1431HTCSTR0</v>
      </c>
      <c r="P24" s="20" t="str">
        <f t="shared" si="9"/>
        <v>renata.arreola@gmail.com</v>
      </c>
      <c r="Q24" t="str">
        <f t="shared" si="6"/>
        <v>656  91431</v>
      </c>
      <c r="R24" t="s">
        <v>82</v>
      </c>
      <c r="Y24">
        <v>0</v>
      </c>
      <c r="Z24" t="str">
        <f t="shared" si="7"/>
        <v>MED-21</v>
      </c>
      <c r="AA24" s="11" t="str">
        <f t="shared" si="0"/>
        <v>EXECUTE [dbo].[PG_CI_CLIENTE] 0, 0, 21, 'renataarreola', 'renarr', 9, 1,1 ,4, 3, 1, 'renata', 'arreola', 'portillo', 'reap1431', 'reap1431HTCSTR0', 'renata.arreola@gmail.com', '656  91431', 'Oscar Flores','','','','','','', 0,'MED-21';</v>
      </c>
    </row>
    <row r="25" spans="2:27" x14ac:dyDescent="0.25">
      <c r="B25" s="18">
        <f t="shared" si="8"/>
        <v>22</v>
      </c>
      <c r="C25" t="str">
        <f t="shared" si="1"/>
        <v>juangonzalez</v>
      </c>
      <c r="D25" t="str">
        <f t="shared" si="2"/>
        <v>juagon</v>
      </c>
      <c r="E25" s="17">
        <f t="shared" si="3"/>
        <v>6</v>
      </c>
      <c r="F25" s="17">
        <f t="shared" si="11"/>
        <v>0</v>
      </c>
      <c r="G25" s="17">
        <v>1</v>
      </c>
      <c r="H25" s="16">
        <f t="shared" si="10"/>
        <v>1</v>
      </c>
      <c r="I25" s="17">
        <f t="shared" si="15"/>
        <v>4</v>
      </c>
      <c r="J25" s="4">
        <v>1</v>
      </c>
      <c r="K25" s="14" t="str">
        <f t="shared" ref="K25" si="20">K18</f>
        <v>juan</v>
      </c>
      <c r="L25" s="14" t="str">
        <f t="shared" ref="L25" si="21">L14</f>
        <v>gonzalez</v>
      </c>
      <c r="M25" s="14" t="str">
        <f t="shared" si="14"/>
        <v>barraza</v>
      </c>
      <c r="N25" s="20" t="str">
        <f t="shared" si="4"/>
        <v>jugb0141</v>
      </c>
      <c r="O25" t="str">
        <f t="shared" si="5"/>
        <v>jugb0141HTCSTR0</v>
      </c>
      <c r="P25" s="20" t="str">
        <f t="shared" si="9"/>
        <v>juan.gonzalez@gmail.com</v>
      </c>
      <c r="Q25" t="str">
        <f t="shared" si="6"/>
        <v>656  60141</v>
      </c>
      <c r="R25" t="s">
        <v>83</v>
      </c>
      <c r="Y25">
        <v>0</v>
      </c>
      <c r="Z25" t="str">
        <f t="shared" si="7"/>
        <v>MED-22</v>
      </c>
      <c r="AA25" s="11" t="str">
        <f t="shared" si="0"/>
        <v>EXECUTE [dbo].[PG_CI_CLIENTE] 0, 0, 22, 'juangonzalez', 'juagon', 6, 0,1 ,1, 4, 1, 'juan', 'gonzalez', 'barraza', 'jugb0141', 'jugb0141HTCSTR0', 'juan.gonzalez@gmail.com', '656  60141', 'Panamericana','','','','','','', 0,'MED-22';</v>
      </c>
    </row>
    <row r="26" spans="2:27" x14ac:dyDescent="0.25">
      <c r="B26" s="18">
        <f t="shared" si="8"/>
        <v>23</v>
      </c>
      <c r="C26" t="str">
        <f t="shared" si="1"/>
        <v>pedroEsteban</v>
      </c>
      <c r="D26" t="str">
        <f t="shared" si="2"/>
        <v>pedEst</v>
      </c>
      <c r="E26" s="17">
        <f t="shared" si="3"/>
        <v>10</v>
      </c>
      <c r="F26" s="17">
        <f t="shared" si="11"/>
        <v>1</v>
      </c>
      <c r="G26" s="17">
        <v>1</v>
      </c>
      <c r="H26" s="16">
        <f t="shared" si="10"/>
        <v>3</v>
      </c>
      <c r="I26" s="17">
        <f t="shared" si="15"/>
        <v>5</v>
      </c>
      <c r="J26" s="4">
        <v>1</v>
      </c>
      <c r="K26" s="14" t="str">
        <f t="shared" ref="K26" si="22">K19</f>
        <v>pedro</v>
      </c>
      <c r="L26" s="14" t="str">
        <f t="shared" ref="L26" si="23">L15</f>
        <v>Esteban</v>
      </c>
      <c r="M26" s="14" t="str">
        <f t="shared" si="14"/>
        <v>salgado</v>
      </c>
      <c r="N26" s="20" t="str">
        <f t="shared" si="4"/>
        <v>peEs1351</v>
      </c>
      <c r="O26" t="str">
        <f t="shared" si="5"/>
        <v>peEs1351HTCSTR0</v>
      </c>
      <c r="P26" s="20" t="str">
        <f t="shared" si="9"/>
        <v>pedro.Esteban@gmail.com</v>
      </c>
      <c r="Q26" t="str">
        <f t="shared" si="6"/>
        <v>656  101351</v>
      </c>
      <c r="R26" t="s">
        <v>84</v>
      </c>
      <c r="Y26">
        <v>0</v>
      </c>
      <c r="Z26" t="str">
        <f t="shared" si="7"/>
        <v>MED-23</v>
      </c>
      <c r="AA26" s="11" t="str">
        <f t="shared" si="0"/>
        <v>EXECUTE [dbo].[PG_CI_CLIENTE] 0, 0, 23, 'pedroEsteban', 'pedEst', 10, 1,1 ,3, 5, 1, 'pedro', 'Esteban', 'salgado', 'peEs1351', 'peEs1351HTCSTR0', 'pedro.Esteban@gmail.com', '656  101351', 'Zaragoza','','','','','','', 0,'MED-23';</v>
      </c>
    </row>
    <row r="27" spans="2:27" x14ac:dyDescent="0.25">
      <c r="B27" s="18">
        <f t="shared" si="8"/>
        <v>24</v>
      </c>
      <c r="C27" t="str">
        <f t="shared" si="1"/>
        <v>luisPaz</v>
      </c>
      <c r="D27" t="str">
        <f t="shared" si="2"/>
        <v>luiPaz</v>
      </c>
      <c r="E27" s="17">
        <f t="shared" si="3"/>
        <v>9</v>
      </c>
      <c r="F27" s="17">
        <f t="shared" si="11"/>
        <v>1</v>
      </c>
      <c r="G27" s="17">
        <v>1</v>
      </c>
      <c r="H27" s="16">
        <f t="shared" si="10"/>
        <v>2</v>
      </c>
      <c r="I27" s="17">
        <f t="shared" si="15"/>
        <v>5</v>
      </c>
      <c r="J27" s="4">
        <v>1</v>
      </c>
      <c r="K27" s="14" t="str">
        <f t="shared" ref="K27" si="24">K20</f>
        <v>luis</v>
      </c>
      <c r="L27" s="14" t="str">
        <f t="shared" ref="L27" si="25">L16</f>
        <v>Paz</v>
      </c>
      <c r="M27" s="14" t="str">
        <f t="shared" si="14"/>
        <v>zamarron</v>
      </c>
      <c r="N27" s="20" t="str">
        <f t="shared" si="4"/>
        <v>luPz1251</v>
      </c>
      <c r="O27" t="str">
        <f t="shared" si="5"/>
        <v>luPz1251HTCSTR0</v>
      </c>
      <c r="P27" s="20" t="str">
        <f t="shared" si="9"/>
        <v>luis.Paz@gmail.com</v>
      </c>
      <c r="Q27" t="str">
        <f t="shared" si="6"/>
        <v>656  91251</v>
      </c>
      <c r="R27" t="s">
        <v>85</v>
      </c>
      <c r="Y27">
        <v>0</v>
      </c>
      <c r="Z27" t="str">
        <f t="shared" si="7"/>
        <v>MED-24</v>
      </c>
      <c r="AA27" s="11" t="str">
        <f t="shared" si="0"/>
        <v>EXECUTE [dbo].[PG_CI_CLIENTE] 0, 0, 24, 'luisPaz', 'luiPaz', 9, 1,1 ,2, 5, 1, 'luis', 'Paz', 'zamarron', 'luPz1251', 'luPz1251HTCSTR0', 'luis.Paz@gmail.com', '656  91251', 'Porvenir','','','','','','', 0,'MED-24';</v>
      </c>
    </row>
    <row r="28" spans="2:27" x14ac:dyDescent="0.25">
      <c r="B28" s="18">
        <f t="shared" si="8"/>
        <v>25</v>
      </c>
      <c r="C28" t="str">
        <f t="shared" si="1"/>
        <v>marioEscobar</v>
      </c>
      <c r="D28" t="str">
        <f t="shared" si="2"/>
        <v>marEsc</v>
      </c>
      <c r="E28" s="17">
        <f t="shared" si="3"/>
        <v>10</v>
      </c>
      <c r="F28" s="17">
        <f t="shared" si="11"/>
        <v>0</v>
      </c>
      <c r="G28" s="17">
        <v>1</v>
      </c>
      <c r="H28" s="16">
        <f t="shared" si="10"/>
        <v>4</v>
      </c>
      <c r="I28" s="17">
        <f t="shared" si="15"/>
        <v>5</v>
      </c>
      <c r="J28" s="4">
        <v>1</v>
      </c>
      <c r="K28" s="14" t="str">
        <f t="shared" ref="K28" si="26">K21</f>
        <v>mario</v>
      </c>
      <c r="L28" s="14" t="str">
        <f t="shared" ref="L28" si="27">L17</f>
        <v>Escobar</v>
      </c>
      <c r="M28" s="14" t="str">
        <f t="shared" si="14"/>
        <v>p4edroza</v>
      </c>
      <c r="N28" s="20" t="str">
        <f t="shared" si="4"/>
        <v>maEp0451</v>
      </c>
      <c r="O28" t="str">
        <f t="shared" si="5"/>
        <v>maEp0451HTCSTR0</v>
      </c>
      <c r="P28" s="20" t="str">
        <f t="shared" si="9"/>
        <v>mario.Escobar@gmail.com</v>
      </c>
      <c r="Q28" t="str">
        <f t="shared" si="6"/>
        <v>656  100451</v>
      </c>
      <c r="R28" t="s">
        <v>86</v>
      </c>
      <c r="Y28">
        <v>0</v>
      </c>
      <c r="Z28" t="str">
        <f t="shared" si="7"/>
        <v>MED-25</v>
      </c>
      <c r="AA28" s="11" t="str">
        <f t="shared" si="0"/>
        <v>EXECUTE [dbo].[PG_CI_CLIENTE] 0, 0, 25, 'marioEscobar', 'marEsc', 10, 0,1 ,4, 5, 1, 'mario', 'Escobar', 'p4edroza', 'maEp0451', 'maEp0451HTCSTR0', 'mario.Escobar@gmail.com', '656  100451', 'Henequen','','','','','','', 0,'MED-25';</v>
      </c>
    </row>
    <row r="29" spans="2:27" x14ac:dyDescent="0.25">
      <c r="B29" s="18">
        <f t="shared" si="8"/>
        <v>26</v>
      </c>
      <c r="C29" t="str">
        <f t="shared" si="1"/>
        <v>betyDominguez</v>
      </c>
      <c r="D29" t="str">
        <f t="shared" si="2"/>
        <v>betDom</v>
      </c>
      <c r="E29" s="17">
        <f t="shared" si="3"/>
        <v>9</v>
      </c>
      <c r="F29" s="17">
        <f t="shared" si="11"/>
        <v>1</v>
      </c>
      <c r="G29" s="17">
        <v>1</v>
      </c>
      <c r="H29" s="16">
        <f t="shared" si="10"/>
        <v>1</v>
      </c>
      <c r="I29" s="17">
        <f t="shared" si="15"/>
        <v>6</v>
      </c>
      <c r="J29" s="4">
        <v>1</v>
      </c>
      <c r="K29" s="14" t="str">
        <f t="shared" ref="K29" si="28">K22</f>
        <v>bety</v>
      </c>
      <c r="L29" s="14" t="str">
        <f t="shared" ref="L29:L72" si="29">L18</f>
        <v>Dominguez</v>
      </c>
      <c r="M29" s="14" t="str">
        <f t="shared" si="14"/>
        <v>narvaez</v>
      </c>
      <c r="N29" s="20" t="str">
        <f t="shared" si="4"/>
        <v>beDn1161</v>
      </c>
      <c r="O29" t="str">
        <f t="shared" si="5"/>
        <v>beDn1161HTCSTR0</v>
      </c>
      <c r="P29" s="20" t="str">
        <f t="shared" si="9"/>
        <v>bety.Dominguez@gmail.com</v>
      </c>
      <c r="Q29" t="str">
        <f t="shared" si="6"/>
        <v>656  91161</v>
      </c>
      <c r="R29" t="s">
        <v>87</v>
      </c>
      <c r="Y29">
        <v>0</v>
      </c>
      <c r="Z29" t="str">
        <f t="shared" si="7"/>
        <v>MED-26</v>
      </c>
      <c r="AA29" s="11" t="str">
        <f t="shared" si="0"/>
        <v>EXECUTE [dbo].[PG_CI_CLIENTE] 0, 0, 26, 'betyDominguez', 'betDom', 9, 1,1 ,1, 6, 1, 'bety', 'Dominguez', 'narvaez', 'beDn1161', 'beDn1161HTCSTR0', 'bety.Dominguez@gmail.com', '656  91161', 'Ejercito Nacional','','','','','','', 0,'MED-26';</v>
      </c>
    </row>
    <row r="30" spans="2:27" x14ac:dyDescent="0.25">
      <c r="B30" s="18">
        <f t="shared" si="8"/>
        <v>27</v>
      </c>
      <c r="C30" t="str">
        <f t="shared" si="1"/>
        <v>mariaLopez</v>
      </c>
      <c r="D30" t="str">
        <f t="shared" si="2"/>
        <v>marLop</v>
      </c>
      <c r="E30" s="17">
        <f t="shared" si="3"/>
        <v>11</v>
      </c>
      <c r="F30" s="17">
        <f t="shared" si="11"/>
        <v>1</v>
      </c>
      <c r="G30" s="17">
        <v>1</v>
      </c>
      <c r="H30" s="16">
        <f t="shared" si="10"/>
        <v>3</v>
      </c>
      <c r="I30" s="17">
        <f t="shared" si="15"/>
        <v>6</v>
      </c>
      <c r="J30" s="4">
        <v>1</v>
      </c>
      <c r="K30" s="14" t="str">
        <f t="shared" ref="K30" si="30">K23</f>
        <v>maria</v>
      </c>
      <c r="L30" s="14" t="str">
        <f t="shared" si="29"/>
        <v>Lopez</v>
      </c>
      <c r="M30" s="14" t="str">
        <f t="shared" si="14"/>
        <v>Gutierres</v>
      </c>
      <c r="N30" s="20" t="str">
        <f t="shared" si="4"/>
        <v>maLG1361</v>
      </c>
      <c r="O30" t="str">
        <f t="shared" si="5"/>
        <v>maLG1361HTCSTR0</v>
      </c>
      <c r="P30" s="20" t="str">
        <f t="shared" si="9"/>
        <v>maria.Lopez@gmail.com</v>
      </c>
      <c r="Q30" t="str">
        <f t="shared" si="6"/>
        <v>656  111361</v>
      </c>
      <c r="R30" t="s">
        <v>51</v>
      </c>
      <c r="Y30">
        <v>0</v>
      </c>
      <c r="Z30" t="str">
        <f t="shared" si="7"/>
        <v>MED-27</v>
      </c>
      <c r="AA30" s="11" t="str">
        <f t="shared" si="0"/>
        <v>EXECUTE [dbo].[PG_CI_CLIENTE] 0, 0, 27, 'mariaLopez', 'marLop', 11, 1,1 ,3, 6, 1, 'maria', 'Lopez', 'Gutierres', 'maLG1361', 'maLG1361HTCSTR0', 'maria.Lopez@gmail.com', '656  111361', 'Av. Las torres','','','','','','', 0,'MED-27';</v>
      </c>
    </row>
    <row r="31" spans="2:27" x14ac:dyDescent="0.25">
      <c r="B31" s="18">
        <f t="shared" si="8"/>
        <v>28</v>
      </c>
      <c r="C31" t="str">
        <f t="shared" si="1"/>
        <v>renatasandoval</v>
      </c>
      <c r="D31" t="str">
        <f t="shared" si="2"/>
        <v>rensan</v>
      </c>
      <c r="E31" s="17">
        <f t="shared" si="3"/>
        <v>10</v>
      </c>
      <c r="F31" s="17">
        <f t="shared" si="11"/>
        <v>0</v>
      </c>
      <c r="G31" s="17">
        <v>1</v>
      </c>
      <c r="H31" s="16">
        <f t="shared" si="10"/>
        <v>2</v>
      </c>
      <c r="I31" s="17">
        <f t="shared" si="15"/>
        <v>7</v>
      </c>
      <c r="J31" s="4">
        <v>1</v>
      </c>
      <c r="K31" s="14" t="str">
        <f t="shared" ref="K31" si="31">K24</f>
        <v>renata</v>
      </c>
      <c r="L31" s="14" t="str">
        <f t="shared" si="29"/>
        <v>sandoval</v>
      </c>
      <c r="M31" s="14" t="str">
        <f t="shared" si="14"/>
        <v>Perez</v>
      </c>
      <c r="N31" s="20" t="str">
        <f t="shared" si="4"/>
        <v>resP0271</v>
      </c>
      <c r="O31" t="str">
        <f t="shared" si="5"/>
        <v>resP0271HTCSTR0</v>
      </c>
      <c r="P31" s="20" t="str">
        <f t="shared" si="9"/>
        <v>renata.sandoval@gmail.com</v>
      </c>
      <c r="Q31" t="str">
        <f t="shared" si="6"/>
        <v>656  100271</v>
      </c>
      <c r="R31" t="s">
        <v>52</v>
      </c>
      <c r="Y31">
        <v>0</v>
      </c>
      <c r="Z31" t="str">
        <f t="shared" si="7"/>
        <v>MED-28</v>
      </c>
      <c r="AA31" s="11" t="str">
        <f t="shared" si="0"/>
        <v>EXECUTE [dbo].[PG_CI_CLIENTE] 0, 0, 28, 'renatasandoval', 'rensan', 10, 0,1 ,2, 7, 1, 'renata', 'sandoval', 'Perez', 'resP0271', 'resP0271HTCSTR0', 'renata.sandoval@gmail.com', '656  100271', 'Av. Talamas camanadari','','','','','','', 0,'MED-28';</v>
      </c>
    </row>
    <row r="32" spans="2:27" x14ac:dyDescent="0.25">
      <c r="B32" s="18">
        <f t="shared" si="8"/>
        <v>29</v>
      </c>
      <c r="C32" t="str">
        <f t="shared" si="1"/>
        <v>juanperez</v>
      </c>
      <c r="D32" t="str">
        <f t="shared" si="2"/>
        <v>juaper</v>
      </c>
      <c r="E32" s="17">
        <f t="shared" si="3"/>
        <v>13</v>
      </c>
      <c r="F32" s="17">
        <f t="shared" si="11"/>
        <v>1</v>
      </c>
      <c r="G32" s="17">
        <v>1</v>
      </c>
      <c r="H32" s="16">
        <f t="shared" si="10"/>
        <v>4</v>
      </c>
      <c r="I32" s="17">
        <f t="shared" si="15"/>
        <v>7</v>
      </c>
      <c r="J32" s="4">
        <v>1</v>
      </c>
      <c r="K32" s="14" t="str">
        <f t="shared" ref="K32" si="32">K25</f>
        <v>juan</v>
      </c>
      <c r="L32" s="14" t="str">
        <f t="shared" si="29"/>
        <v>perez</v>
      </c>
      <c r="M32" s="14" t="str">
        <f t="shared" si="14"/>
        <v>De Leon</v>
      </c>
      <c r="N32" s="20" t="str">
        <f t="shared" si="4"/>
        <v>jupD1471</v>
      </c>
      <c r="O32" t="str">
        <f t="shared" si="5"/>
        <v>jupD1471HTCSTR0</v>
      </c>
      <c r="P32" s="20" t="str">
        <f t="shared" si="9"/>
        <v>juan.perez@gmail.com</v>
      </c>
      <c r="Q32" t="str">
        <f t="shared" si="6"/>
        <v>656  131471</v>
      </c>
      <c r="R32" t="s">
        <v>53</v>
      </c>
      <c r="Y32">
        <v>0</v>
      </c>
      <c r="Z32" t="str">
        <f t="shared" si="7"/>
        <v>MED-29</v>
      </c>
      <c r="AA32" s="11" t="str">
        <f t="shared" si="0"/>
        <v>EXECUTE [dbo].[PG_CI_CLIENTE] 0, 0, 29, 'juanperez', 'juaper', 13, 1,1 ,4, 7, 1, 'juan', 'perez', 'De Leon', 'jupD1471', 'jupD1471HTCSTR0', 'juan.perez@gmail.com', '656  131471', 'Av. Independencia','','','','','','', 0,'MED-29';</v>
      </c>
    </row>
    <row r="33" spans="2:27" x14ac:dyDescent="0.25">
      <c r="B33" s="18">
        <f t="shared" si="8"/>
        <v>30</v>
      </c>
      <c r="C33" t="str">
        <f t="shared" si="1"/>
        <v>pedromartinez</v>
      </c>
      <c r="D33" t="str">
        <f t="shared" si="2"/>
        <v>pedmar</v>
      </c>
      <c r="E33" s="17">
        <f t="shared" si="3"/>
        <v>10</v>
      </c>
      <c r="F33" s="17">
        <f t="shared" si="11"/>
        <v>1</v>
      </c>
      <c r="G33" s="17">
        <v>1</v>
      </c>
      <c r="H33" s="16">
        <f t="shared" si="10"/>
        <v>1</v>
      </c>
      <c r="I33" s="17">
        <f t="shared" si="15"/>
        <v>7</v>
      </c>
      <c r="J33" s="4">
        <v>1</v>
      </c>
      <c r="K33" s="14" t="str">
        <f t="shared" ref="K33" si="33">K26</f>
        <v>pedro</v>
      </c>
      <c r="L33" s="14" t="str">
        <f t="shared" si="29"/>
        <v>martinez</v>
      </c>
      <c r="M33" s="14" t="str">
        <f t="shared" si="14"/>
        <v>Juarez</v>
      </c>
      <c r="N33" s="20" t="str">
        <f t="shared" si="4"/>
        <v>pemJ1171</v>
      </c>
      <c r="O33" t="str">
        <f t="shared" si="5"/>
        <v>pemJ1171HTCSTR0</v>
      </c>
      <c r="P33" s="20" t="str">
        <f t="shared" si="9"/>
        <v>pedro.martinez@gmail.com</v>
      </c>
      <c r="Q33" t="str">
        <f t="shared" si="6"/>
        <v>656  101171</v>
      </c>
      <c r="R33" t="s">
        <v>54</v>
      </c>
      <c r="Y33">
        <v>0</v>
      </c>
      <c r="Z33" t="str">
        <f t="shared" si="7"/>
        <v>MED-30</v>
      </c>
      <c r="AA33" s="11" t="str">
        <f t="shared" si="0"/>
        <v>EXECUTE [dbo].[PG_CI_CLIENTE] 0, 0, 30, 'pedromartinez', 'pedmar', 10, 1,1 ,1, 7, 1, 'pedro', 'martinez', 'Juarez', 'pemJ1171', 'pemJ1171HTCSTR0', 'pedro.martinez@gmail.com', '656  101171', 'Av. Gomez Morin','','','','','','', 0,'MED-30';</v>
      </c>
    </row>
    <row r="34" spans="2:27" x14ac:dyDescent="0.25">
      <c r="B34" s="18">
        <f t="shared" si="8"/>
        <v>31</v>
      </c>
      <c r="C34" t="str">
        <f t="shared" si="1"/>
        <v>luisescailla</v>
      </c>
      <c r="D34" t="str">
        <f t="shared" si="2"/>
        <v>luiesc</v>
      </c>
      <c r="E34" s="17">
        <f t="shared" si="3"/>
        <v>11</v>
      </c>
      <c r="F34" s="17">
        <f t="shared" si="11"/>
        <v>0</v>
      </c>
      <c r="G34" s="17">
        <v>1</v>
      </c>
      <c r="H34" s="16">
        <f t="shared" si="10"/>
        <v>3</v>
      </c>
      <c r="I34" s="17">
        <f t="shared" si="15"/>
        <v>7</v>
      </c>
      <c r="J34" s="4">
        <v>1</v>
      </c>
      <c r="K34" s="14" t="str">
        <f t="shared" ref="K34" si="34">K27</f>
        <v>luis</v>
      </c>
      <c r="L34" s="14" t="str">
        <f t="shared" si="29"/>
        <v>escailla</v>
      </c>
      <c r="M34" s="14" t="str">
        <f t="shared" si="14"/>
        <v>zamarripa</v>
      </c>
      <c r="N34" s="20" t="str">
        <f t="shared" si="4"/>
        <v>luez0371</v>
      </c>
      <c r="O34" t="str">
        <f t="shared" si="5"/>
        <v>luez0371HTCSTR0</v>
      </c>
      <c r="P34" s="20" t="str">
        <f t="shared" si="9"/>
        <v>luis.escailla@gmail.com</v>
      </c>
      <c r="Q34" t="str">
        <f t="shared" si="6"/>
        <v>656  110371</v>
      </c>
      <c r="R34" t="s">
        <v>79</v>
      </c>
      <c r="Y34">
        <v>0</v>
      </c>
      <c r="Z34" t="str">
        <f t="shared" si="7"/>
        <v>MED-31</v>
      </c>
      <c r="AA34" s="11" t="str">
        <f t="shared" si="0"/>
        <v>EXECUTE [dbo].[PG_CI_CLIENTE] 0, 0, 31, 'luisescailla', 'luiesc', 11, 0,1 ,3, 7, 1, 'luis', 'escailla', 'zamarripa', 'luez0371', 'luez0371HTCSTR0', 'luis.escailla@gmail.com', '656  110371', 'Paraje San Isidro','','','','','','', 0,'MED-31';</v>
      </c>
    </row>
    <row r="35" spans="2:27" x14ac:dyDescent="0.25">
      <c r="B35" s="18">
        <f t="shared" si="8"/>
        <v>32</v>
      </c>
      <c r="C35" t="str">
        <f t="shared" si="1"/>
        <v>marioarreola</v>
      </c>
      <c r="D35" t="str">
        <f t="shared" si="2"/>
        <v>mararr</v>
      </c>
      <c r="E35" s="17">
        <f t="shared" si="3"/>
        <v>12</v>
      </c>
      <c r="F35" s="17">
        <f t="shared" si="11"/>
        <v>1</v>
      </c>
      <c r="G35" s="17">
        <v>1</v>
      </c>
      <c r="H35" s="16">
        <f t="shared" si="10"/>
        <v>2</v>
      </c>
      <c r="I35" s="17">
        <f t="shared" si="15"/>
        <v>8</v>
      </c>
      <c r="J35" s="4">
        <v>1</v>
      </c>
      <c r="K35" s="14" t="str">
        <f t="shared" ref="K35" si="35">K28</f>
        <v>mario</v>
      </c>
      <c r="L35" s="14" t="str">
        <f t="shared" si="29"/>
        <v>arreola</v>
      </c>
      <c r="M35" s="14" t="str">
        <f t="shared" si="14"/>
        <v>tarango</v>
      </c>
      <c r="N35" s="20" t="str">
        <f t="shared" si="4"/>
        <v>maat1281</v>
      </c>
      <c r="O35" t="str">
        <f t="shared" si="5"/>
        <v>maat1281HTCSTR0</v>
      </c>
      <c r="P35" s="20" t="str">
        <f t="shared" si="9"/>
        <v>mario.arreola@gmail.com</v>
      </c>
      <c r="Q35" t="str">
        <f t="shared" si="6"/>
        <v>656  121281</v>
      </c>
      <c r="R35" t="s">
        <v>80</v>
      </c>
      <c r="Y35">
        <v>0</v>
      </c>
      <c r="Z35" t="str">
        <f t="shared" si="7"/>
        <v>MED-32</v>
      </c>
      <c r="AA35" s="11" t="str">
        <f t="shared" si="0"/>
        <v>EXECUTE [dbo].[PG_CI_CLIENTE] 0, 0, 32, 'marioarreola', 'mararr', 12, 1,1 ,2, 8, 1, 'mario', 'arreola', 'tarango', 'maat1281', 'maat1281HTCSTR0', 'mario.arreola@gmail.com', '656  121281', 'San Pancho','','','','','','', 0,'MED-32';</v>
      </c>
    </row>
    <row r="36" spans="2:27" x14ac:dyDescent="0.25">
      <c r="B36" s="18">
        <f t="shared" si="8"/>
        <v>33</v>
      </c>
      <c r="C36" t="str">
        <f t="shared" si="1"/>
        <v>betygonzalez</v>
      </c>
      <c r="D36" t="str">
        <f t="shared" si="2"/>
        <v>betgon</v>
      </c>
      <c r="E36" s="17">
        <f t="shared" si="3"/>
        <v>14</v>
      </c>
      <c r="F36" s="17">
        <f t="shared" si="11"/>
        <v>1</v>
      </c>
      <c r="G36" s="17">
        <v>1</v>
      </c>
      <c r="H36" s="16">
        <f t="shared" si="10"/>
        <v>4</v>
      </c>
      <c r="I36" s="17">
        <f t="shared" si="15"/>
        <v>8</v>
      </c>
      <c r="J36" s="4">
        <v>1</v>
      </c>
      <c r="K36" s="14" t="str">
        <f t="shared" ref="K36" si="36">K29</f>
        <v>bety</v>
      </c>
      <c r="L36" s="14" t="str">
        <f t="shared" si="29"/>
        <v>gonzalez</v>
      </c>
      <c r="M36" s="14" t="str">
        <f t="shared" si="14"/>
        <v>cordero</v>
      </c>
      <c r="N36" s="20" t="str">
        <f t="shared" si="4"/>
        <v>begc1481</v>
      </c>
      <c r="O36" t="str">
        <f t="shared" si="5"/>
        <v>begc1481HTCSTR0</v>
      </c>
      <c r="P36" s="20" t="str">
        <f t="shared" si="9"/>
        <v>bety.gonzalez@gmail.com</v>
      </c>
      <c r="Q36" t="str">
        <f t="shared" si="6"/>
        <v>656  141481</v>
      </c>
      <c r="R36" t="s">
        <v>81</v>
      </c>
      <c r="Y36">
        <v>0</v>
      </c>
      <c r="Z36" t="str">
        <f t="shared" si="7"/>
        <v>MED-33</v>
      </c>
      <c r="AA36" s="11" t="str">
        <f t="shared" si="0"/>
        <v>EXECUTE [dbo].[PG_CI_CLIENTE] 0, 0, 33, 'betygonzalez', 'betgon', 14, 1,1 ,4, 8, 1, 'bety', 'gonzalez', 'cordero', 'begc1481', 'begc1481HTCSTR0', 'bety.gonzalez@gmail.com', '656  141481', 'Yepomera','','','','','','', 0,'MED-33';</v>
      </c>
    </row>
    <row r="37" spans="2:27" x14ac:dyDescent="0.25">
      <c r="B37" s="18">
        <f t="shared" si="8"/>
        <v>34</v>
      </c>
      <c r="C37" t="str">
        <f t="shared" si="1"/>
        <v>mariaEsteban</v>
      </c>
      <c r="D37" t="str">
        <f t="shared" si="2"/>
        <v>marEst</v>
      </c>
      <c r="E37" s="17">
        <f t="shared" si="3"/>
        <v>11</v>
      </c>
      <c r="F37" s="17">
        <f t="shared" si="11"/>
        <v>0</v>
      </c>
      <c r="G37" s="17">
        <v>1</v>
      </c>
      <c r="H37" s="16">
        <f t="shared" si="10"/>
        <v>1</v>
      </c>
      <c r="I37" s="17">
        <f t="shared" si="15"/>
        <v>9</v>
      </c>
      <c r="J37" s="4">
        <v>1</v>
      </c>
      <c r="K37" s="14" t="str">
        <f t="shared" ref="K37" si="37">K30</f>
        <v>maria</v>
      </c>
      <c r="L37" s="14" t="str">
        <f t="shared" si="29"/>
        <v>Esteban</v>
      </c>
      <c r="M37" s="14" t="str">
        <f t="shared" si="14"/>
        <v>portillo</v>
      </c>
      <c r="N37" s="20" t="str">
        <f t="shared" si="4"/>
        <v>maEp0191</v>
      </c>
      <c r="O37" t="str">
        <f t="shared" si="5"/>
        <v>maEp0191HTCSTR0</v>
      </c>
      <c r="P37" s="20" t="str">
        <f t="shared" si="9"/>
        <v>maria.Esteban@gmail.com</v>
      </c>
      <c r="Q37" t="str">
        <f t="shared" si="6"/>
        <v>656  110191</v>
      </c>
      <c r="R37" t="s">
        <v>82</v>
      </c>
      <c r="Y37">
        <v>0</v>
      </c>
      <c r="Z37" t="str">
        <f t="shared" si="7"/>
        <v>MED-34</v>
      </c>
      <c r="AA37" s="11" t="str">
        <f t="shared" si="0"/>
        <v>EXECUTE [dbo].[PG_CI_CLIENTE] 0, 0, 34, 'mariaEsteban', 'marEst', 11, 0,1 ,1, 9, 1, 'maria', 'Esteban', 'portillo', 'maEp0191', 'maEp0191HTCSTR0', 'maria.Esteban@gmail.com', '656  110191', 'Oscar Flores','','','','','','', 0,'MED-34';</v>
      </c>
    </row>
    <row r="38" spans="2:27" x14ac:dyDescent="0.25">
      <c r="B38" s="18">
        <f t="shared" si="8"/>
        <v>35</v>
      </c>
      <c r="C38" t="str">
        <f t="shared" si="1"/>
        <v>renataPaz</v>
      </c>
      <c r="D38" t="str">
        <f t="shared" si="2"/>
        <v>renPaz</v>
      </c>
      <c r="E38" s="17">
        <f t="shared" si="3"/>
        <v>6</v>
      </c>
      <c r="F38" s="17">
        <f t="shared" si="11"/>
        <v>1</v>
      </c>
      <c r="G38" s="17">
        <v>1</v>
      </c>
      <c r="H38" s="16">
        <f t="shared" si="10"/>
        <v>3</v>
      </c>
      <c r="I38" s="17">
        <f t="shared" si="15"/>
        <v>1</v>
      </c>
      <c r="J38" s="4">
        <v>1</v>
      </c>
      <c r="K38" s="14" t="str">
        <f t="shared" ref="K38" si="38">K31</f>
        <v>renata</v>
      </c>
      <c r="L38" s="14" t="str">
        <f t="shared" si="29"/>
        <v>Paz</v>
      </c>
      <c r="M38" s="14" t="str">
        <f t="shared" si="14"/>
        <v>barraza</v>
      </c>
      <c r="N38" s="20" t="str">
        <f t="shared" si="4"/>
        <v>rePb1311</v>
      </c>
      <c r="O38" t="str">
        <f t="shared" si="5"/>
        <v>rePb1311HTCSTR0</v>
      </c>
      <c r="P38" s="20" t="str">
        <f t="shared" si="9"/>
        <v>renata.Paz@gmail.com</v>
      </c>
      <c r="Q38" t="str">
        <f t="shared" si="6"/>
        <v>656  61311</v>
      </c>
      <c r="R38" t="s">
        <v>83</v>
      </c>
      <c r="Y38">
        <v>0</v>
      </c>
      <c r="Z38" t="str">
        <f t="shared" si="7"/>
        <v>MED-35</v>
      </c>
      <c r="AA38" s="11" t="str">
        <f t="shared" si="0"/>
        <v>EXECUTE [dbo].[PG_CI_CLIENTE] 0, 0, 35, 'renataPaz', 'renPaz', 6, 1,1 ,3, 1, 1, 'renata', 'Paz', 'barraza', 'rePb1311', 'rePb1311HTCSTR0', 'renata.Paz@gmail.com', '656  61311', 'Panamericana','','','','','','', 0,'MED-35';</v>
      </c>
    </row>
    <row r="39" spans="2:27" x14ac:dyDescent="0.25">
      <c r="B39" s="18">
        <f t="shared" si="8"/>
        <v>36</v>
      </c>
      <c r="C39" t="str">
        <f t="shared" si="1"/>
        <v>juanEscobar</v>
      </c>
      <c r="D39" t="str">
        <f t="shared" si="2"/>
        <v>juaEsc</v>
      </c>
      <c r="E39" s="17">
        <f t="shared" si="3"/>
        <v>6</v>
      </c>
      <c r="F39" s="17">
        <f t="shared" si="11"/>
        <v>1</v>
      </c>
      <c r="G39" s="17">
        <v>1</v>
      </c>
      <c r="H39" s="16">
        <f t="shared" si="10"/>
        <v>2</v>
      </c>
      <c r="I39" s="17">
        <f t="shared" si="15"/>
        <v>2</v>
      </c>
      <c r="J39" s="4">
        <v>1</v>
      </c>
      <c r="K39" s="14" t="str">
        <f t="shared" ref="K39" si="39">K32</f>
        <v>juan</v>
      </c>
      <c r="L39" s="14" t="str">
        <f t="shared" si="29"/>
        <v>Escobar</v>
      </c>
      <c r="M39" s="14" t="str">
        <f t="shared" si="14"/>
        <v>salgado</v>
      </c>
      <c r="N39" s="20" t="str">
        <f t="shared" si="4"/>
        <v>juEs1221</v>
      </c>
      <c r="O39" t="str">
        <f t="shared" si="5"/>
        <v>juEs1221HTCSTR0</v>
      </c>
      <c r="P39" s="20" t="str">
        <f t="shared" si="9"/>
        <v>juan.Escobar@gmail.com</v>
      </c>
      <c r="Q39" t="str">
        <f t="shared" si="6"/>
        <v>656  61221</v>
      </c>
      <c r="R39" t="s">
        <v>84</v>
      </c>
      <c r="Y39">
        <v>0</v>
      </c>
      <c r="Z39" t="str">
        <f t="shared" si="7"/>
        <v>MED-36</v>
      </c>
      <c r="AA39" s="11" t="str">
        <f t="shared" si="0"/>
        <v>EXECUTE [dbo].[PG_CI_CLIENTE] 0, 0, 36, 'juanEscobar', 'juaEsc', 6, 1,1 ,2, 2, 1, 'juan', 'Escobar', 'salgado', 'juEs1221', 'juEs1221HTCSTR0', 'juan.Escobar@gmail.com', '656  61221', 'Zaragoza','','','','','','', 0,'MED-36';</v>
      </c>
    </row>
    <row r="40" spans="2:27" x14ac:dyDescent="0.25">
      <c r="B40" s="18">
        <f t="shared" si="8"/>
        <v>37</v>
      </c>
      <c r="C40" t="str">
        <f t="shared" si="1"/>
        <v>pedroDominguez</v>
      </c>
      <c r="D40" t="str">
        <f t="shared" si="2"/>
        <v>pedDom</v>
      </c>
      <c r="E40" s="17">
        <f t="shared" si="3"/>
        <v>7</v>
      </c>
      <c r="F40" s="17">
        <f t="shared" si="11"/>
        <v>0</v>
      </c>
      <c r="G40" s="17">
        <v>1</v>
      </c>
      <c r="H40" s="16">
        <f t="shared" si="10"/>
        <v>4</v>
      </c>
      <c r="I40" s="17">
        <f t="shared" si="15"/>
        <v>2</v>
      </c>
      <c r="J40" s="4">
        <v>1</v>
      </c>
      <c r="K40" s="14" t="str">
        <f t="shared" ref="K40" si="40">K33</f>
        <v>pedro</v>
      </c>
      <c r="L40" s="14" t="str">
        <f t="shared" si="29"/>
        <v>Dominguez</v>
      </c>
      <c r="M40" s="14" t="str">
        <f t="shared" si="14"/>
        <v>zamarron</v>
      </c>
      <c r="N40" s="20" t="str">
        <f t="shared" si="4"/>
        <v>peDz0421</v>
      </c>
      <c r="O40" t="str">
        <f t="shared" si="5"/>
        <v>peDz0421HTCSTR0</v>
      </c>
      <c r="P40" s="20" t="str">
        <f t="shared" si="9"/>
        <v>pedro.Dominguez@gmail.com</v>
      </c>
      <c r="Q40" t="str">
        <f t="shared" si="6"/>
        <v>656  70421</v>
      </c>
      <c r="R40" t="s">
        <v>85</v>
      </c>
      <c r="Y40">
        <v>0</v>
      </c>
      <c r="Z40" t="str">
        <f t="shared" si="7"/>
        <v>MED-37</v>
      </c>
      <c r="AA40" s="11" t="str">
        <f t="shared" si="0"/>
        <v>EXECUTE [dbo].[PG_CI_CLIENTE] 0, 0, 37, 'pedroDominguez', 'pedDom', 7, 0,1 ,4, 2, 1, 'pedro', 'Dominguez', 'zamarron', 'peDz0421', 'peDz0421HTCSTR0', 'pedro.Dominguez@gmail.com', '656  70421', 'Porvenir','','','','','','', 0,'MED-37';</v>
      </c>
    </row>
    <row r="41" spans="2:27" x14ac:dyDescent="0.25">
      <c r="B41" s="18">
        <f t="shared" si="8"/>
        <v>38</v>
      </c>
      <c r="C41" t="str">
        <f t="shared" si="1"/>
        <v>luisLopez</v>
      </c>
      <c r="D41" t="str">
        <f t="shared" si="2"/>
        <v>luiLop</v>
      </c>
      <c r="E41" s="17">
        <f t="shared" si="3"/>
        <v>6</v>
      </c>
      <c r="F41" s="17">
        <f t="shared" si="11"/>
        <v>1</v>
      </c>
      <c r="G41" s="17">
        <v>1</v>
      </c>
      <c r="H41" s="16">
        <f t="shared" si="10"/>
        <v>1</v>
      </c>
      <c r="I41" s="17">
        <f t="shared" si="15"/>
        <v>3</v>
      </c>
      <c r="J41" s="4">
        <v>1</v>
      </c>
      <c r="K41" s="14" t="str">
        <f t="shared" ref="K41" si="41">K34</f>
        <v>luis</v>
      </c>
      <c r="L41" s="14" t="str">
        <f t="shared" si="29"/>
        <v>Lopez</v>
      </c>
      <c r="M41" s="14" t="str">
        <f t="shared" si="14"/>
        <v>p4edroza</v>
      </c>
      <c r="N41" s="20" t="str">
        <f t="shared" si="4"/>
        <v>luLp1131</v>
      </c>
      <c r="O41" t="str">
        <f t="shared" si="5"/>
        <v>luLp1131HTCSTR0</v>
      </c>
      <c r="P41" s="20" t="str">
        <f t="shared" si="9"/>
        <v>luis.Lopez@gmail.com</v>
      </c>
      <c r="Q41" t="str">
        <f t="shared" si="6"/>
        <v>656  61131</v>
      </c>
      <c r="R41" t="s">
        <v>86</v>
      </c>
      <c r="Y41">
        <v>0</v>
      </c>
      <c r="Z41" t="str">
        <f t="shared" si="7"/>
        <v>MED-38</v>
      </c>
      <c r="AA41" s="11" t="str">
        <f t="shared" si="0"/>
        <v>EXECUTE [dbo].[PG_CI_CLIENTE] 0, 0, 38, 'luisLopez', 'luiLop', 6, 1,1 ,1, 3, 1, 'luis', 'Lopez', 'p4edroza', 'luLp1131', 'luLp1131HTCSTR0', 'luis.Lopez@gmail.com', '656  61131', 'Henequen','','','','','','', 0,'MED-38';</v>
      </c>
    </row>
    <row r="42" spans="2:27" x14ac:dyDescent="0.25">
      <c r="B42" s="18">
        <f t="shared" si="8"/>
        <v>39</v>
      </c>
      <c r="C42" t="str">
        <f t="shared" si="1"/>
        <v>mariosandoval</v>
      </c>
      <c r="D42" t="str">
        <f t="shared" si="2"/>
        <v>marsan</v>
      </c>
      <c r="E42" s="17">
        <f t="shared" si="3"/>
        <v>9</v>
      </c>
      <c r="F42" s="17">
        <f t="shared" si="11"/>
        <v>1</v>
      </c>
      <c r="G42" s="17">
        <v>1</v>
      </c>
      <c r="H42" s="16">
        <f t="shared" si="10"/>
        <v>3</v>
      </c>
      <c r="I42" s="17">
        <f t="shared" si="15"/>
        <v>4</v>
      </c>
      <c r="J42" s="4">
        <v>1</v>
      </c>
      <c r="K42" s="14" t="str">
        <f t="shared" ref="K42" si="42">K35</f>
        <v>mario</v>
      </c>
      <c r="L42" s="14" t="str">
        <f t="shared" si="29"/>
        <v>sandoval</v>
      </c>
      <c r="M42" s="14" t="str">
        <f t="shared" si="14"/>
        <v>narvaez</v>
      </c>
      <c r="N42" s="20" t="str">
        <f t="shared" si="4"/>
        <v>masn1341</v>
      </c>
      <c r="O42" t="str">
        <f t="shared" si="5"/>
        <v>masn1341HTCSTR0</v>
      </c>
      <c r="P42" s="20" t="str">
        <f t="shared" si="9"/>
        <v>mario.sandoval@gmail.com</v>
      </c>
      <c r="Q42" t="str">
        <f t="shared" si="6"/>
        <v>656  91341</v>
      </c>
      <c r="R42" t="s">
        <v>87</v>
      </c>
      <c r="Y42">
        <v>0</v>
      </c>
      <c r="Z42" t="str">
        <f t="shared" si="7"/>
        <v>MED-39</v>
      </c>
      <c r="AA42" s="11" t="str">
        <f t="shared" si="0"/>
        <v>EXECUTE [dbo].[PG_CI_CLIENTE] 0, 0, 39, 'mariosandoval', 'marsan', 9, 1,1 ,3, 4, 1, 'mario', 'sandoval', 'narvaez', 'masn1341', 'masn1341HTCSTR0', 'mario.sandoval@gmail.com', '656  91341', 'Ejercito Nacional','','','','','','', 0,'MED-39';</v>
      </c>
    </row>
    <row r="43" spans="2:27" x14ac:dyDescent="0.25">
      <c r="B43" s="18">
        <f t="shared" si="8"/>
        <v>40</v>
      </c>
      <c r="C43" t="str">
        <f t="shared" si="1"/>
        <v>betyperez</v>
      </c>
      <c r="D43" t="str">
        <f t="shared" si="2"/>
        <v>betper</v>
      </c>
      <c r="E43" s="17">
        <f t="shared" si="3"/>
        <v>8</v>
      </c>
      <c r="F43" s="17">
        <f t="shared" si="11"/>
        <v>0</v>
      </c>
      <c r="G43" s="17">
        <v>1</v>
      </c>
      <c r="H43" s="16">
        <f t="shared" si="10"/>
        <v>2</v>
      </c>
      <c r="I43" s="17">
        <f t="shared" si="15"/>
        <v>5</v>
      </c>
      <c r="J43" s="4">
        <v>1</v>
      </c>
      <c r="K43" s="14" t="str">
        <f t="shared" ref="K43" si="43">K36</f>
        <v>bety</v>
      </c>
      <c r="L43" s="14" t="str">
        <f t="shared" si="29"/>
        <v>perez</v>
      </c>
      <c r="M43" s="14" t="str">
        <f t="shared" si="14"/>
        <v>Gutierres</v>
      </c>
      <c r="N43" s="20" t="str">
        <f t="shared" si="4"/>
        <v>bepG0251</v>
      </c>
      <c r="O43" t="str">
        <f t="shared" si="5"/>
        <v>bepG0251HTCSTR0</v>
      </c>
      <c r="P43" s="20" t="str">
        <f t="shared" si="9"/>
        <v>bety.perez@gmail.com</v>
      </c>
      <c r="Q43" t="str">
        <f t="shared" si="6"/>
        <v>656  80251</v>
      </c>
      <c r="R43" t="s">
        <v>51</v>
      </c>
      <c r="Y43">
        <v>0</v>
      </c>
      <c r="Z43" t="str">
        <f t="shared" si="7"/>
        <v>MED-40</v>
      </c>
      <c r="AA43" s="11" t="str">
        <f t="shared" si="0"/>
        <v>EXECUTE [dbo].[PG_CI_CLIENTE] 0, 0, 40, 'betyperez', 'betper', 8, 0,1 ,2, 5, 1, 'bety', 'perez', 'Gutierres', 'bepG0251', 'bepG0251HTCSTR0', 'bety.perez@gmail.com', '656  80251', 'Av. Las torres','','','','','','', 0,'MED-40';</v>
      </c>
    </row>
    <row r="44" spans="2:27" x14ac:dyDescent="0.25">
      <c r="B44" s="18">
        <f t="shared" si="8"/>
        <v>41</v>
      </c>
      <c r="C44" t="str">
        <f t="shared" si="1"/>
        <v>mariamartinez</v>
      </c>
      <c r="D44" t="str">
        <f t="shared" si="2"/>
        <v>marmar</v>
      </c>
      <c r="E44" s="17">
        <f t="shared" si="3"/>
        <v>11</v>
      </c>
      <c r="F44" s="17">
        <f t="shared" si="11"/>
        <v>1</v>
      </c>
      <c r="G44" s="17">
        <v>1</v>
      </c>
      <c r="H44" s="16">
        <f t="shared" si="10"/>
        <v>4</v>
      </c>
      <c r="I44" s="17">
        <f t="shared" si="15"/>
        <v>5</v>
      </c>
      <c r="J44" s="4">
        <v>1</v>
      </c>
      <c r="K44" s="14" t="str">
        <f t="shared" ref="K44" si="44">K37</f>
        <v>maria</v>
      </c>
      <c r="L44" s="14" t="str">
        <f t="shared" si="29"/>
        <v>martinez</v>
      </c>
      <c r="M44" s="14" t="str">
        <f t="shared" si="14"/>
        <v>Perez</v>
      </c>
      <c r="N44" s="20" t="str">
        <f t="shared" si="4"/>
        <v>mamP1451</v>
      </c>
      <c r="O44" t="str">
        <f t="shared" si="5"/>
        <v>mamP1451HTCSTR0</v>
      </c>
      <c r="P44" s="20" t="str">
        <f t="shared" si="9"/>
        <v>maria.martinez@gmail.com</v>
      </c>
      <c r="Q44" t="str">
        <f t="shared" si="6"/>
        <v>656  111451</v>
      </c>
      <c r="R44" t="s">
        <v>52</v>
      </c>
      <c r="Y44">
        <v>0</v>
      </c>
      <c r="Z44" t="str">
        <f t="shared" si="7"/>
        <v>MED-41</v>
      </c>
      <c r="AA44" s="11" t="str">
        <f t="shared" si="0"/>
        <v>EXECUTE [dbo].[PG_CI_CLIENTE] 0, 0, 41, 'mariamartinez', 'marmar', 11, 1,1 ,4, 5, 1, 'maria', 'martinez', 'Perez', 'mamP1451', 'mamP1451HTCSTR0', 'maria.martinez@gmail.com', '656  111451', 'Av. Talamas camanadari','','','','','','', 0,'MED-41';</v>
      </c>
    </row>
    <row r="45" spans="2:27" x14ac:dyDescent="0.25">
      <c r="B45" s="18">
        <f t="shared" si="8"/>
        <v>42</v>
      </c>
      <c r="C45" t="str">
        <f t="shared" si="1"/>
        <v>renataescailla</v>
      </c>
      <c r="D45" t="str">
        <f t="shared" si="2"/>
        <v>renesc</v>
      </c>
      <c r="E45" s="17">
        <f t="shared" si="3"/>
        <v>8</v>
      </c>
      <c r="F45" s="17">
        <f t="shared" si="11"/>
        <v>1</v>
      </c>
      <c r="G45" s="17">
        <v>1</v>
      </c>
      <c r="H45" s="16">
        <f t="shared" si="10"/>
        <v>1</v>
      </c>
      <c r="I45" s="17">
        <f t="shared" si="15"/>
        <v>5</v>
      </c>
      <c r="J45" s="4">
        <v>1</v>
      </c>
      <c r="K45" s="14" t="str">
        <f t="shared" ref="K45" si="45">K38</f>
        <v>renata</v>
      </c>
      <c r="L45" s="14" t="str">
        <f t="shared" si="29"/>
        <v>escailla</v>
      </c>
      <c r="M45" s="14" t="str">
        <f t="shared" si="14"/>
        <v>De Leon</v>
      </c>
      <c r="N45" s="20" t="str">
        <f t="shared" si="4"/>
        <v>reeD1151</v>
      </c>
      <c r="O45" t="str">
        <f t="shared" si="5"/>
        <v>reeD1151HTCSTR0</v>
      </c>
      <c r="P45" s="20" t="str">
        <f t="shared" si="9"/>
        <v>renata.escailla@gmail.com</v>
      </c>
      <c r="Q45" t="str">
        <f t="shared" si="6"/>
        <v>656  81151</v>
      </c>
      <c r="R45" t="s">
        <v>53</v>
      </c>
      <c r="Y45">
        <v>0</v>
      </c>
      <c r="Z45" t="str">
        <f t="shared" si="7"/>
        <v>MED-42</v>
      </c>
      <c r="AA45" s="11" t="str">
        <f t="shared" si="0"/>
        <v>EXECUTE [dbo].[PG_CI_CLIENTE] 0, 0, 42, 'renataescailla', 'renesc', 8, 1,1 ,1, 5, 1, 'renata', 'escailla', 'De Leon', 'reeD1151', 'reeD1151HTCSTR0', 'renata.escailla@gmail.com', '656  81151', 'Av. Independencia','','','','','','', 0,'MED-42';</v>
      </c>
    </row>
    <row r="46" spans="2:27" x14ac:dyDescent="0.25">
      <c r="B46" s="18">
        <f t="shared" si="8"/>
        <v>43</v>
      </c>
      <c r="C46" t="str">
        <f t="shared" si="1"/>
        <v>juanarreola</v>
      </c>
      <c r="D46" t="str">
        <f t="shared" si="2"/>
        <v>juaarr</v>
      </c>
      <c r="E46" s="17">
        <f t="shared" si="3"/>
        <v>10</v>
      </c>
      <c r="F46" s="17">
        <f t="shared" si="11"/>
        <v>0</v>
      </c>
      <c r="G46" s="17">
        <v>1</v>
      </c>
      <c r="H46" s="16">
        <f t="shared" si="10"/>
        <v>3</v>
      </c>
      <c r="I46" s="17">
        <f t="shared" si="15"/>
        <v>6</v>
      </c>
      <c r="J46" s="4">
        <v>1</v>
      </c>
      <c r="K46" s="14" t="str">
        <f t="shared" ref="K46" si="46">K39</f>
        <v>juan</v>
      </c>
      <c r="L46" s="14" t="str">
        <f t="shared" si="29"/>
        <v>arreola</v>
      </c>
      <c r="M46" s="14" t="str">
        <f t="shared" si="14"/>
        <v>Juarez</v>
      </c>
      <c r="N46" s="20" t="str">
        <f t="shared" si="4"/>
        <v>juaJ0361</v>
      </c>
      <c r="O46" t="str">
        <f t="shared" si="5"/>
        <v>juaJ0361HTCSTR0</v>
      </c>
      <c r="P46" s="20" t="str">
        <f t="shared" si="9"/>
        <v>juan.arreola@gmail.com</v>
      </c>
      <c r="Q46" t="str">
        <f t="shared" si="6"/>
        <v>656  100361</v>
      </c>
      <c r="R46" t="s">
        <v>54</v>
      </c>
      <c r="Y46">
        <v>0</v>
      </c>
      <c r="Z46" t="str">
        <f t="shared" si="7"/>
        <v>MED-43</v>
      </c>
      <c r="AA46" s="11" t="str">
        <f t="shared" si="0"/>
        <v>EXECUTE [dbo].[PG_CI_CLIENTE] 0, 0, 43, 'juanarreola', 'juaarr', 10, 0,1 ,3, 6, 1, 'juan', 'arreola', 'Juarez', 'juaJ0361', 'juaJ0361HTCSTR0', 'juan.arreola@gmail.com', '656  100361', 'Av. Gomez Morin','','','','','','', 0,'MED-43';</v>
      </c>
    </row>
    <row r="47" spans="2:27" x14ac:dyDescent="0.25">
      <c r="B47" s="18">
        <f t="shared" si="8"/>
        <v>44</v>
      </c>
      <c r="C47" t="str">
        <f t="shared" si="1"/>
        <v>pedrogonzalez</v>
      </c>
      <c r="D47" t="str">
        <f t="shared" si="2"/>
        <v>pedgon</v>
      </c>
      <c r="E47" s="17">
        <f t="shared" si="3"/>
        <v>10</v>
      </c>
      <c r="F47" s="17">
        <f t="shared" si="11"/>
        <v>1</v>
      </c>
      <c r="G47" s="17">
        <v>1</v>
      </c>
      <c r="H47" s="16">
        <f t="shared" si="10"/>
        <v>2</v>
      </c>
      <c r="I47" s="17">
        <f t="shared" si="15"/>
        <v>6</v>
      </c>
      <c r="J47" s="4">
        <v>1</v>
      </c>
      <c r="K47" s="14" t="str">
        <f t="shared" ref="K47" si="47">K40</f>
        <v>pedro</v>
      </c>
      <c r="L47" s="14" t="str">
        <f t="shared" si="29"/>
        <v>gonzalez</v>
      </c>
      <c r="M47" s="14" t="str">
        <f t="shared" si="14"/>
        <v>zamarripa</v>
      </c>
      <c r="N47" s="20" t="str">
        <f t="shared" si="4"/>
        <v>pegz1261</v>
      </c>
      <c r="O47" t="str">
        <f t="shared" si="5"/>
        <v>pegz1261HTCSTR0</v>
      </c>
      <c r="P47" s="20" t="str">
        <f t="shared" si="9"/>
        <v>pedro.gonzalez@gmail.com</v>
      </c>
      <c r="Q47" t="str">
        <f t="shared" si="6"/>
        <v>656  101261</v>
      </c>
      <c r="R47" t="s">
        <v>79</v>
      </c>
      <c r="Y47">
        <v>0</v>
      </c>
      <c r="Z47" t="str">
        <f t="shared" si="7"/>
        <v>MED-44</v>
      </c>
      <c r="AA47" s="11" t="str">
        <f t="shared" si="0"/>
        <v>EXECUTE [dbo].[PG_CI_CLIENTE] 0, 0, 44, 'pedrogonzalez', 'pedgon', 10, 1,1 ,2, 6, 1, 'pedro', 'gonzalez', 'zamarripa', 'pegz1261', 'pegz1261HTCSTR0', 'pedro.gonzalez@gmail.com', '656  101261', 'Paraje San Isidro','','','','','','', 0,'MED-44';</v>
      </c>
    </row>
    <row r="48" spans="2:27" x14ac:dyDescent="0.25">
      <c r="B48" s="18">
        <f t="shared" si="8"/>
        <v>45</v>
      </c>
      <c r="C48" t="str">
        <f t="shared" si="1"/>
        <v>luisEsteban</v>
      </c>
      <c r="D48" t="str">
        <f t="shared" si="2"/>
        <v>luiEst</v>
      </c>
      <c r="E48" s="17">
        <f t="shared" si="3"/>
        <v>13</v>
      </c>
      <c r="F48" s="17">
        <f t="shared" si="11"/>
        <v>1</v>
      </c>
      <c r="G48" s="17">
        <v>1</v>
      </c>
      <c r="H48" s="16">
        <f t="shared" si="10"/>
        <v>4</v>
      </c>
      <c r="I48" s="17">
        <f t="shared" si="15"/>
        <v>7</v>
      </c>
      <c r="J48" s="4">
        <v>1</v>
      </c>
      <c r="K48" s="14" t="str">
        <f t="shared" ref="K48" si="48">K41</f>
        <v>luis</v>
      </c>
      <c r="L48" s="14" t="str">
        <f t="shared" si="29"/>
        <v>Esteban</v>
      </c>
      <c r="M48" s="14" t="str">
        <f t="shared" si="14"/>
        <v>tarango</v>
      </c>
      <c r="N48" s="20" t="str">
        <f t="shared" si="4"/>
        <v>luEt1471</v>
      </c>
      <c r="O48" t="str">
        <f t="shared" si="5"/>
        <v>luEt1471HTCSTR0</v>
      </c>
      <c r="P48" s="20" t="str">
        <f t="shared" si="9"/>
        <v>luis.Esteban@gmail.com</v>
      </c>
      <c r="Q48" t="str">
        <f t="shared" si="6"/>
        <v>656  131471</v>
      </c>
      <c r="R48" t="s">
        <v>80</v>
      </c>
      <c r="Y48">
        <v>0</v>
      </c>
      <c r="Z48" t="str">
        <f t="shared" si="7"/>
        <v>MED-45</v>
      </c>
      <c r="AA48" s="11" t="str">
        <f t="shared" si="0"/>
        <v>EXECUTE [dbo].[PG_CI_CLIENTE] 0, 0, 45, 'luisEsteban', 'luiEst', 13, 1,1 ,4, 7, 1, 'luis', 'Esteban', 'tarango', 'luEt1471', 'luEt1471HTCSTR0', 'luis.Esteban@gmail.com', '656  131471', 'San Pancho','','','','','','', 0,'MED-45';</v>
      </c>
    </row>
    <row r="49" spans="2:27" x14ac:dyDescent="0.25">
      <c r="B49" s="18">
        <f t="shared" si="8"/>
        <v>46</v>
      </c>
      <c r="C49" t="str">
        <f t="shared" si="1"/>
        <v>marioPaz</v>
      </c>
      <c r="D49" t="str">
        <f t="shared" si="2"/>
        <v>marPaz</v>
      </c>
      <c r="E49" s="17">
        <f t="shared" si="3"/>
        <v>9</v>
      </c>
      <c r="F49" s="17">
        <f t="shared" si="11"/>
        <v>0</v>
      </c>
      <c r="G49" s="17">
        <v>1</v>
      </c>
      <c r="H49" s="16">
        <f t="shared" si="10"/>
        <v>1</v>
      </c>
      <c r="I49" s="17">
        <f t="shared" si="15"/>
        <v>7</v>
      </c>
      <c r="J49" s="4">
        <v>1</v>
      </c>
      <c r="K49" s="14" t="str">
        <f t="shared" ref="K49" si="49">K42</f>
        <v>mario</v>
      </c>
      <c r="L49" s="14" t="str">
        <f t="shared" si="29"/>
        <v>Paz</v>
      </c>
      <c r="M49" s="14" t="str">
        <f t="shared" si="14"/>
        <v>cordero</v>
      </c>
      <c r="N49" s="20" t="str">
        <f t="shared" si="4"/>
        <v>maPc0171</v>
      </c>
      <c r="O49" t="str">
        <f t="shared" si="5"/>
        <v>maPc0171HTCSTR0</v>
      </c>
      <c r="P49" s="20" t="str">
        <f t="shared" si="9"/>
        <v>mario.Paz@gmail.com</v>
      </c>
      <c r="Q49" t="str">
        <f t="shared" si="6"/>
        <v>656  90171</v>
      </c>
      <c r="R49" t="s">
        <v>81</v>
      </c>
      <c r="Y49">
        <v>0</v>
      </c>
      <c r="Z49" t="str">
        <f t="shared" si="7"/>
        <v>MED-46</v>
      </c>
      <c r="AA49" s="11" t="str">
        <f t="shared" si="0"/>
        <v>EXECUTE [dbo].[PG_CI_CLIENTE] 0, 0, 46, 'marioPaz', 'marPaz', 9, 0,1 ,1, 7, 1, 'mario', 'Paz', 'cordero', 'maPc0171', 'maPc0171HTCSTR0', 'mario.Paz@gmail.com', '656  90171', 'Yepomera','','','','','','', 0,'MED-46';</v>
      </c>
    </row>
    <row r="50" spans="2:27" x14ac:dyDescent="0.25">
      <c r="B50" s="18">
        <f t="shared" si="8"/>
        <v>47</v>
      </c>
      <c r="C50" t="str">
        <f t="shared" si="1"/>
        <v>betyEscobar</v>
      </c>
      <c r="D50" t="str">
        <f t="shared" si="2"/>
        <v>betEsc</v>
      </c>
      <c r="E50" s="17">
        <f t="shared" si="3"/>
        <v>12</v>
      </c>
      <c r="F50" s="17">
        <f t="shared" si="11"/>
        <v>1</v>
      </c>
      <c r="G50" s="17">
        <v>1</v>
      </c>
      <c r="H50" s="16">
        <f t="shared" si="10"/>
        <v>3</v>
      </c>
      <c r="I50" s="17">
        <f t="shared" si="15"/>
        <v>7</v>
      </c>
      <c r="J50" s="4">
        <v>1</v>
      </c>
      <c r="K50" s="14" t="str">
        <f t="shared" ref="K50" si="50">K43</f>
        <v>bety</v>
      </c>
      <c r="L50" s="14" t="str">
        <f t="shared" si="29"/>
        <v>Escobar</v>
      </c>
      <c r="M50" s="14" t="str">
        <f t="shared" si="14"/>
        <v>portillo</v>
      </c>
      <c r="N50" s="20" t="str">
        <f t="shared" si="4"/>
        <v>beEp1371</v>
      </c>
      <c r="O50" t="str">
        <f t="shared" si="5"/>
        <v>beEp1371HTCSTR0</v>
      </c>
      <c r="P50" s="20" t="str">
        <f t="shared" si="9"/>
        <v>bety.Escobar@gmail.com</v>
      </c>
      <c r="Q50" t="str">
        <f t="shared" si="6"/>
        <v>656  121371</v>
      </c>
      <c r="R50" t="s">
        <v>82</v>
      </c>
      <c r="Y50">
        <v>0</v>
      </c>
      <c r="Z50" t="str">
        <f t="shared" si="7"/>
        <v>MED-47</v>
      </c>
      <c r="AA50" s="11" t="str">
        <f t="shared" si="0"/>
        <v>EXECUTE [dbo].[PG_CI_CLIENTE] 0, 0, 47, 'betyEscobar', 'betEsc', 12, 1,1 ,3, 7, 1, 'bety', 'Escobar', 'portillo', 'beEp1371', 'beEp1371HTCSTR0', 'bety.Escobar@gmail.com', '656  121371', 'Oscar Flores','','','','','','', 0,'MED-47';</v>
      </c>
    </row>
    <row r="51" spans="2:27" x14ac:dyDescent="0.25">
      <c r="B51" s="18">
        <f t="shared" si="8"/>
        <v>48</v>
      </c>
      <c r="C51" t="str">
        <f t="shared" si="1"/>
        <v>mariaDominguez</v>
      </c>
      <c r="D51" t="str">
        <f t="shared" si="2"/>
        <v>marDom</v>
      </c>
      <c r="E51" s="17">
        <f t="shared" si="3"/>
        <v>11</v>
      </c>
      <c r="F51" s="17">
        <f t="shared" si="11"/>
        <v>1</v>
      </c>
      <c r="G51" s="17">
        <v>1</v>
      </c>
      <c r="H51" s="16">
        <f t="shared" si="10"/>
        <v>2</v>
      </c>
      <c r="I51" s="17">
        <f t="shared" si="15"/>
        <v>7</v>
      </c>
      <c r="J51" s="4">
        <v>1</v>
      </c>
      <c r="K51" s="14" t="str">
        <f t="shared" ref="K51" si="51">K44</f>
        <v>maria</v>
      </c>
      <c r="L51" s="14" t="str">
        <f t="shared" si="29"/>
        <v>Dominguez</v>
      </c>
      <c r="M51" s="14" t="str">
        <f t="shared" si="14"/>
        <v>barraza</v>
      </c>
      <c r="N51" s="20" t="str">
        <f t="shared" si="4"/>
        <v>maDb1271</v>
      </c>
      <c r="O51" t="str">
        <f t="shared" si="5"/>
        <v>maDb1271HTCSTR0</v>
      </c>
      <c r="P51" s="20" t="str">
        <f t="shared" si="9"/>
        <v>maria.Dominguez@gmail.com</v>
      </c>
      <c r="Q51" t="str">
        <f t="shared" si="6"/>
        <v>656  111271</v>
      </c>
      <c r="R51" t="s">
        <v>83</v>
      </c>
      <c r="Y51">
        <v>0</v>
      </c>
      <c r="Z51" t="str">
        <f t="shared" si="7"/>
        <v>MED-48</v>
      </c>
      <c r="AA51" s="11" t="str">
        <f t="shared" si="0"/>
        <v>EXECUTE [dbo].[PG_CI_CLIENTE] 0, 0, 48, 'mariaDominguez', 'marDom', 11, 1,1 ,2, 7, 1, 'maria', 'Dominguez', 'barraza', 'maDb1271', 'maDb1271HTCSTR0', 'maria.Dominguez@gmail.com', '656  111271', 'Panamericana','','','','','','', 0,'MED-48';</v>
      </c>
    </row>
    <row r="52" spans="2:27" x14ac:dyDescent="0.25">
      <c r="B52" s="18">
        <f t="shared" si="8"/>
        <v>49</v>
      </c>
      <c r="C52" t="str">
        <f t="shared" si="1"/>
        <v>renataLopez</v>
      </c>
      <c r="D52" t="str">
        <f t="shared" si="2"/>
        <v>renLop</v>
      </c>
      <c r="E52" s="17">
        <f t="shared" si="3"/>
        <v>13</v>
      </c>
      <c r="F52" s="17">
        <f t="shared" si="11"/>
        <v>0</v>
      </c>
      <c r="G52" s="17">
        <v>1</v>
      </c>
      <c r="H52" s="16">
        <f t="shared" si="10"/>
        <v>4</v>
      </c>
      <c r="I52" s="17">
        <f t="shared" si="15"/>
        <v>8</v>
      </c>
      <c r="J52" s="4">
        <v>1</v>
      </c>
      <c r="K52" s="14" t="str">
        <f t="shared" ref="K52" si="52">K45</f>
        <v>renata</v>
      </c>
      <c r="L52" s="14" t="str">
        <f t="shared" si="29"/>
        <v>Lopez</v>
      </c>
      <c r="M52" s="14" t="str">
        <f t="shared" si="14"/>
        <v>salgado</v>
      </c>
      <c r="N52" s="20" t="str">
        <f t="shared" si="4"/>
        <v>reLs0481</v>
      </c>
      <c r="O52" t="str">
        <f t="shared" si="5"/>
        <v>reLs0481HTCSTR0</v>
      </c>
      <c r="P52" s="20" t="str">
        <f t="shared" si="9"/>
        <v>renata.Lopez@gmail.com</v>
      </c>
      <c r="Q52" t="str">
        <f t="shared" si="6"/>
        <v>656  130481</v>
      </c>
      <c r="R52" t="s">
        <v>84</v>
      </c>
      <c r="Y52">
        <v>0</v>
      </c>
      <c r="Z52" t="str">
        <f t="shared" si="7"/>
        <v>MED-49</v>
      </c>
      <c r="AA52" s="11" t="str">
        <f t="shared" si="0"/>
        <v>EXECUTE [dbo].[PG_CI_CLIENTE] 0, 0, 49, 'renataLopez', 'renLop', 13, 0,1 ,4, 8, 1, 'renata', 'Lopez', 'salgado', 'reLs0481', 'reLs0481HTCSTR0', 'renata.Lopez@gmail.com', '656  130481', 'Zaragoza','','','','','','', 0,'MED-49';</v>
      </c>
    </row>
    <row r="53" spans="2:27" x14ac:dyDescent="0.25">
      <c r="B53" s="18">
        <f t="shared" si="8"/>
        <v>50</v>
      </c>
      <c r="C53" t="str">
        <f t="shared" si="1"/>
        <v>juansandoval</v>
      </c>
      <c r="D53" t="str">
        <f t="shared" si="2"/>
        <v>juasan</v>
      </c>
      <c r="E53" s="17">
        <f t="shared" si="3"/>
        <v>11</v>
      </c>
      <c r="F53" s="17">
        <f t="shared" si="11"/>
        <v>1</v>
      </c>
      <c r="G53" s="17">
        <v>1</v>
      </c>
      <c r="H53" s="16">
        <f t="shared" si="10"/>
        <v>1</v>
      </c>
      <c r="I53" s="17">
        <f t="shared" si="15"/>
        <v>8</v>
      </c>
      <c r="J53" s="4">
        <v>1</v>
      </c>
      <c r="K53" s="14" t="str">
        <f t="shared" ref="K53" si="53">K46</f>
        <v>juan</v>
      </c>
      <c r="L53" s="14" t="str">
        <f t="shared" si="29"/>
        <v>sandoval</v>
      </c>
      <c r="M53" s="14" t="str">
        <f t="shared" si="14"/>
        <v>zamarron</v>
      </c>
      <c r="N53" s="20" t="str">
        <f t="shared" si="4"/>
        <v>jusz1181</v>
      </c>
      <c r="O53" t="str">
        <f t="shared" si="5"/>
        <v>jusz1181HTCSTR0</v>
      </c>
      <c r="P53" s="20" t="str">
        <f t="shared" si="9"/>
        <v>juan.sandoval@gmail.com</v>
      </c>
      <c r="Q53" t="str">
        <f t="shared" si="6"/>
        <v>656  111181</v>
      </c>
      <c r="R53" t="s">
        <v>85</v>
      </c>
      <c r="Y53">
        <v>0</v>
      </c>
      <c r="Z53" t="str">
        <f t="shared" si="7"/>
        <v>MED-50</v>
      </c>
      <c r="AA53" s="11" t="str">
        <f t="shared" si="0"/>
        <v>EXECUTE [dbo].[PG_CI_CLIENTE] 0, 0, 50, 'juansandoval', 'juasan', 11, 1,1 ,1, 8, 1, 'juan', 'sandoval', 'zamarron', 'jusz1181', 'jusz1181HTCSTR0', 'juan.sandoval@gmail.com', '656  111181', 'Porvenir','','','','','','', 0,'MED-50';</v>
      </c>
    </row>
    <row r="54" spans="2:27" x14ac:dyDescent="0.25">
      <c r="B54" s="18">
        <f t="shared" si="8"/>
        <v>51</v>
      </c>
      <c r="C54" t="str">
        <f t="shared" si="1"/>
        <v>pedroperez</v>
      </c>
      <c r="D54" t="str">
        <f t="shared" si="2"/>
        <v>pedper</v>
      </c>
      <c r="E54" s="17">
        <f t="shared" si="3"/>
        <v>14</v>
      </c>
      <c r="F54" s="17">
        <f t="shared" si="11"/>
        <v>1</v>
      </c>
      <c r="G54" s="17">
        <v>1</v>
      </c>
      <c r="H54" s="16">
        <f t="shared" si="10"/>
        <v>3</v>
      </c>
      <c r="I54" s="17">
        <f t="shared" si="15"/>
        <v>9</v>
      </c>
      <c r="J54" s="4">
        <v>1</v>
      </c>
      <c r="K54" s="14" t="str">
        <f t="shared" ref="K54" si="54">K47</f>
        <v>pedro</v>
      </c>
      <c r="L54" s="14" t="str">
        <f t="shared" si="29"/>
        <v>perez</v>
      </c>
      <c r="M54" s="14" t="str">
        <f t="shared" si="14"/>
        <v>p4edroza</v>
      </c>
      <c r="N54" s="20" t="str">
        <f t="shared" si="4"/>
        <v>pepp1391</v>
      </c>
      <c r="O54" t="str">
        <f t="shared" si="5"/>
        <v>pepp1391HTCSTR0</v>
      </c>
      <c r="P54" s="20" t="str">
        <f t="shared" si="9"/>
        <v>pedro.perez@gmail.com</v>
      </c>
      <c r="Q54" t="str">
        <f t="shared" si="6"/>
        <v>656  141391</v>
      </c>
      <c r="R54" t="s">
        <v>86</v>
      </c>
      <c r="Y54">
        <v>0</v>
      </c>
      <c r="Z54" t="str">
        <f t="shared" si="7"/>
        <v>MED-51</v>
      </c>
      <c r="AA54" s="11" t="str">
        <f t="shared" si="0"/>
        <v>EXECUTE [dbo].[PG_CI_CLIENTE] 0, 0, 51, 'pedroperez', 'pedper', 14, 1,1 ,3, 9, 1, 'pedro', 'perez', 'p4edroza', 'pepp1391', 'pepp1391HTCSTR0', 'pedro.perez@gmail.com', '656  141391', 'Henequen','','','','','','', 0,'MED-51';</v>
      </c>
    </row>
    <row r="55" spans="2:27" x14ac:dyDescent="0.25">
      <c r="B55" s="18">
        <f t="shared" si="8"/>
        <v>52</v>
      </c>
      <c r="C55" t="str">
        <f t="shared" si="1"/>
        <v>luismartinez</v>
      </c>
      <c r="D55" t="str">
        <f t="shared" si="2"/>
        <v>luimar</v>
      </c>
      <c r="E55" s="17">
        <f t="shared" si="3"/>
        <v>4</v>
      </c>
      <c r="F55" s="17">
        <f t="shared" si="11"/>
        <v>0</v>
      </c>
      <c r="G55" s="17">
        <v>1</v>
      </c>
      <c r="H55" s="16">
        <f t="shared" si="10"/>
        <v>2</v>
      </c>
      <c r="I55" s="17">
        <f t="shared" si="15"/>
        <v>1</v>
      </c>
      <c r="J55" s="4">
        <v>1</v>
      </c>
      <c r="K55" s="14" t="str">
        <f t="shared" ref="K55" si="55">K48</f>
        <v>luis</v>
      </c>
      <c r="L55" s="14" t="str">
        <f t="shared" si="29"/>
        <v>martinez</v>
      </c>
      <c r="M55" s="14" t="str">
        <f t="shared" si="14"/>
        <v>narvaez</v>
      </c>
      <c r="N55" s="20" t="str">
        <f t="shared" si="4"/>
        <v>lumn0211</v>
      </c>
      <c r="O55" t="str">
        <f t="shared" si="5"/>
        <v>lumn0211HTCSTR0</v>
      </c>
      <c r="P55" s="20" t="str">
        <f t="shared" si="9"/>
        <v>luis.martinez@gmail.com</v>
      </c>
      <c r="Q55" t="str">
        <f t="shared" si="6"/>
        <v>656  40211</v>
      </c>
      <c r="R55" t="s">
        <v>87</v>
      </c>
      <c r="Y55">
        <v>0</v>
      </c>
      <c r="Z55" t="str">
        <f t="shared" si="7"/>
        <v>MED-52</v>
      </c>
      <c r="AA55" s="11" t="str">
        <f t="shared" si="0"/>
        <v>EXECUTE [dbo].[PG_CI_CLIENTE] 0, 0, 52, 'luismartinez', 'luimar', 4, 0,1 ,2, 1, 1, 'luis', 'martinez', 'narvaez', 'lumn0211', 'lumn0211HTCSTR0', 'luis.martinez@gmail.com', '656  40211', 'Ejercito Nacional','','','','','','', 0,'MED-52';</v>
      </c>
    </row>
    <row r="56" spans="2:27" x14ac:dyDescent="0.25">
      <c r="B56" s="18">
        <f t="shared" si="8"/>
        <v>53</v>
      </c>
      <c r="C56" t="str">
        <f t="shared" si="1"/>
        <v>marioescailla</v>
      </c>
      <c r="D56" t="str">
        <f t="shared" si="2"/>
        <v>maresc</v>
      </c>
      <c r="E56" s="17">
        <f t="shared" si="3"/>
        <v>8</v>
      </c>
      <c r="F56" s="17">
        <f t="shared" si="11"/>
        <v>1</v>
      </c>
      <c r="G56" s="17">
        <v>1</v>
      </c>
      <c r="H56" s="16">
        <f t="shared" si="10"/>
        <v>4</v>
      </c>
      <c r="I56" s="17">
        <f t="shared" si="15"/>
        <v>2</v>
      </c>
      <c r="J56" s="4">
        <v>1</v>
      </c>
      <c r="K56" s="14" t="str">
        <f t="shared" ref="K56" si="56">K49</f>
        <v>mario</v>
      </c>
      <c r="L56" s="14" t="str">
        <f t="shared" si="29"/>
        <v>escailla</v>
      </c>
      <c r="M56" s="14" t="str">
        <f t="shared" si="14"/>
        <v>Gutierres</v>
      </c>
      <c r="N56" s="20" t="str">
        <f t="shared" si="4"/>
        <v>maeG1421</v>
      </c>
      <c r="O56" t="str">
        <f t="shared" si="5"/>
        <v>maeG1421HTCSTR0</v>
      </c>
      <c r="P56" s="20" t="str">
        <f t="shared" si="9"/>
        <v>mario.escailla@gmail.com</v>
      </c>
      <c r="Q56" t="str">
        <f t="shared" si="6"/>
        <v>656  81421</v>
      </c>
      <c r="R56" t="s">
        <v>51</v>
      </c>
      <c r="Y56">
        <v>0</v>
      </c>
      <c r="Z56" t="str">
        <f t="shared" si="7"/>
        <v>MED-53</v>
      </c>
      <c r="AA56" s="11" t="str">
        <f t="shared" si="0"/>
        <v>EXECUTE [dbo].[PG_CI_CLIENTE] 0, 0, 53, 'marioescailla', 'maresc', 8, 1,1 ,4, 2, 1, 'mario', 'escailla', 'Gutierres', 'maeG1421', 'maeG1421HTCSTR0', 'mario.escailla@gmail.com', '656  81421', 'Av. Las torres','','','','','','', 0,'MED-53';</v>
      </c>
    </row>
    <row r="57" spans="2:27" x14ac:dyDescent="0.25">
      <c r="B57" s="18">
        <f t="shared" si="8"/>
        <v>54</v>
      </c>
      <c r="C57" t="str">
        <f t="shared" si="1"/>
        <v>betyarreola</v>
      </c>
      <c r="D57" t="str">
        <f t="shared" si="2"/>
        <v>betarr</v>
      </c>
      <c r="E57" s="17">
        <f t="shared" si="3"/>
        <v>5</v>
      </c>
      <c r="F57" s="17">
        <f t="shared" si="11"/>
        <v>1</v>
      </c>
      <c r="G57" s="17">
        <v>1</v>
      </c>
      <c r="H57" s="16">
        <f t="shared" si="10"/>
        <v>1</v>
      </c>
      <c r="I57" s="17">
        <f t="shared" si="15"/>
        <v>2</v>
      </c>
      <c r="J57" s="4">
        <v>1</v>
      </c>
      <c r="K57" s="14" t="str">
        <f t="shared" ref="K57" si="57">K50</f>
        <v>bety</v>
      </c>
      <c r="L57" s="14" t="str">
        <f t="shared" si="29"/>
        <v>arreola</v>
      </c>
      <c r="M57" s="14" t="str">
        <f t="shared" si="14"/>
        <v>Perez</v>
      </c>
      <c r="N57" s="20" t="str">
        <f t="shared" si="4"/>
        <v>beaP1121</v>
      </c>
      <c r="O57" t="str">
        <f t="shared" si="5"/>
        <v>beaP1121HTCSTR0</v>
      </c>
      <c r="P57" s="20" t="str">
        <f t="shared" si="9"/>
        <v>bety.arreola@gmail.com</v>
      </c>
      <c r="Q57" t="str">
        <f t="shared" si="6"/>
        <v>656  51121</v>
      </c>
      <c r="R57" t="s">
        <v>52</v>
      </c>
      <c r="Y57">
        <v>0</v>
      </c>
      <c r="Z57" t="str">
        <f t="shared" si="7"/>
        <v>MED-54</v>
      </c>
      <c r="AA57" s="11" t="str">
        <f t="shared" si="0"/>
        <v>EXECUTE [dbo].[PG_CI_CLIENTE] 0, 0, 54, 'betyarreola', 'betarr', 5, 1,1 ,1, 2, 1, 'bety', 'arreola', 'Perez', 'beaP1121', 'beaP1121HTCSTR0', 'bety.arreola@gmail.com', '656  51121', 'Av. Talamas camanadari','','','','','','', 0,'MED-54';</v>
      </c>
    </row>
    <row r="58" spans="2:27" x14ac:dyDescent="0.25">
      <c r="B58" s="18">
        <f t="shared" si="8"/>
        <v>55</v>
      </c>
      <c r="C58" t="str">
        <f t="shared" si="1"/>
        <v>mariagonzalez</v>
      </c>
      <c r="D58" t="str">
        <f t="shared" si="2"/>
        <v>margon</v>
      </c>
      <c r="E58" s="17">
        <f t="shared" si="3"/>
        <v>7</v>
      </c>
      <c r="F58" s="17">
        <f t="shared" si="11"/>
        <v>0</v>
      </c>
      <c r="G58" s="17">
        <v>1</v>
      </c>
      <c r="H58" s="16">
        <f t="shared" si="10"/>
        <v>3</v>
      </c>
      <c r="I58" s="17">
        <f t="shared" si="15"/>
        <v>3</v>
      </c>
      <c r="J58" s="4">
        <v>1</v>
      </c>
      <c r="K58" s="14" t="str">
        <f t="shared" ref="K58" si="58">K51</f>
        <v>maria</v>
      </c>
      <c r="L58" s="14" t="str">
        <f t="shared" si="29"/>
        <v>gonzalez</v>
      </c>
      <c r="M58" s="14" t="str">
        <f t="shared" si="14"/>
        <v>De Leon</v>
      </c>
      <c r="N58" s="20" t="str">
        <f t="shared" si="4"/>
        <v>magD0331</v>
      </c>
      <c r="O58" t="str">
        <f t="shared" si="5"/>
        <v>magD0331HTCSTR0</v>
      </c>
      <c r="P58" s="20" t="str">
        <f t="shared" si="9"/>
        <v>maria.gonzalez@gmail.com</v>
      </c>
      <c r="Q58" t="str">
        <f t="shared" si="6"/>
        <v>656  70331</v>
      </c>
      <c r="R58" t="s">
        <v>53</v>
      </c>
      <c r="Y58">
        <v>0</v>
      </c>
      <c r="Z58" t="str">
        <f t="shared" si="7"/>
        <v>MED-55</v>
      </c>
      <c r="AA58" s="11" t="str">
        <f t="shared" si="0"/>
        <v>EXECUTE [dbo].[PG_CI_CLIENTE] 0, 0, 55, 'mariagonzalez', 'margon', 7, 0,1 ,3, 3, 1, 'maria', 'gonzalez', 'De Leon', 'magD0331', 'magD0331HTCSTR0', 'maria.gonzalez@gmail.com', '656  70331', 'Av. Independencia','','','','','','', 0,'MED-55';</v>
      </c>
    </row>
    <row r="59" spans="2:27" x14ac:dyDescent="0.25">
      <c r="B59" s="18">
        <f t="shared" si="8"/>
        <v>56</v>
      </c>
      <c r="C59" t="str">
        <f t="shared" si="1"/>
        <v>renataEsteban</v>
      </c>
      <c r="D59" t="str">
        <f t="shared" si="2"/>
        <v>renEst</v>
      </c>
      <c r="E59" s="17">
        <f t="shared" si="3"/>
        <v>8</v>
      </c>
      <c r="F59" s="17">
        <f t="shared" si="11"/>
        <v>1</v>
      </c>
      <c r="G59" s="17">
        <v>1</v>
      </c>
      <c r="H59" s="16">
        <f t="shared" si="10"/>
        <v>2</v>
      </c>
      <c r="I59" s="17">
        <f t="shared" si="15"/>
        <v>4</v>
      </c>
      <c r="J59" s="4">
        <v>1</v>
      </c>
      <c r="K59" s="14" t="str">
        <f t="shared" ref="K59" si="59">K52</f>
        <v>renata</v>
      </c>
      <c r="L59" s="14" t="str">
        <f t="shared" si="29"/>
        <v>Esteban</v>
      </c>
      <c r="M59" s="14" t="str">
        <f t="shared" si="14"/>
        <v>Juarez</v>
      </c>
      <c r="N59" s="20" t="str">
        <f t="shared" si="4"/>
        <v>reEJ1241</v>
      </c>
      <c r="O59" t="str">
        <f t="shared" si="5"/>
        <v>reEJ1241HTCSTR0</v>
      </c>
      <c r="P59" s="20" t="str">
        <f t="shared" si="9"/>
        <v>renata.Esteban@gmail.com</v>
      </c>
      <c r="Q59" t="str">
        <f t="shared" si="6"/>
        <v>656  81241</v>
      </c>
      <c r="R59" t="s">
        <v>54</v>
      </c>
      <c r="Y59">
        <v>0</v>
      </c>
      <c r="Z59" t="str">
        <f t="shared" si="7"/>
        <v>MED-56</v>
      </c>
      <c r="AA59" s="11" t="str">
        <f t="shared" si="0"/>
        <v>EXECUTE [dbo].[PG_CI_CLIENTE] 0, 0, 56, 'renataEsteban', 'renEst', 8, 1,1 ,2, 4, 1, 'renata', 'Esteban', 'Juarez', 'reEJ1241', 'reEJ1241HTCSTR0', 'renata.Esteban@gmail.com', '656  81241', 'Av. Gomez Morin','','','','','','', 0,'MED-56';</v>
      </c>
    </row>
    <row r="60" spans="2:27" x14ac:dyDescent="0.25">
      <c r="B60" s="18">
        <f t="shared" si="8"/>
        <v>57</v>
      </c>
      <c r="C60" t="str">
        <f t="shared" si="1"/>
        <v>juanPaz</v>
      </c>
      <c r="D60" t="str">
        <f t="shared" si="2"/>
        <v>juaPaz</v>
      </c>
      <c r="E60" s="17">
        <f t="shared" si="3"/>
        <v>11</v>
      </c>
      <c r="F60" s="17">
        <f t="shared" si="11"/>
        <v>1</v>
      </c>
      <c r="G60" s="17">
        <v>1</v>
      </c>
      <c r="H60" s="16">
        <f t="shared" si="10"/>
        <v>4</v>
      </c>
      <c r="I60" s="17">
        <f t="shared" si="15"/>
        <v>5</v>
      </c>
      <c r="J60" s="4">
        <v>1</v>
      </c>
      <c r="K60" s="14" t="str">
        <f t="shared" ref="K60" si="60">K53</f>
        <v>juan</v>
      </c>
      <c r="L60" s="14" t="str">
        <f t="shared" si="29"/>
        <v>Paz</v>
      </c>
      <c r="M60" s="14" t="str">
        <f t="shared" si="14"/>
        <v>zamarripa</v>
      </c>
      <c r="N60" s="20" t="str">
        <f t="shared" si="4"/>
        <v>juPz1451</v>
      </c>
      <c r="O60" t="str">
        <f t="shared" si="5"/>
        <v>juPz1451HTCSTR0</v>
      </c>
      <c r="P60" s="20" t="str">
        <f t="shared" si="9"/>
        <v>juan.Paz@gmail.com</v>
      </c>
      <c r="Q60" t="str">
        <f t="shared" si="6"/>
        <v>656  111451</v>
      </c>
      <c r="R60" t="s">
        <v>79</v>
      </c>
      <c r="Y60">
        <v>0</v>
      </c>
      <c r="Z60" t="str">
        <f t="shared" si="7"/>
        <v>MED-57</v>
      </c>
      <c r="AA60" s="11" t="str">
        <f t="shared" si="0"/>
        <v>EXECUTE [dbo].[PG_CI_CLIENTE] 0, 0, 57, 'juanPaz', 'juaPaz', 11, 1,1 ,4, 5, 1, 'juan', 'Paz', 'zamarripa', 'juPz1451', 'juPz1451HTCSTR0', 'juan.Paz@gmail.com', '656  111451', 'Paraje San Isidro','','','','','','', 0,'MED-57';</v>
      </c>
    </row>
    <row r="61" spans="2:27" x14ac:dyDescent="0.25">
      <c r="B61" s="18">
        <f t="shared" si="8"/>
        <v>58</v>
      </c>
      <c r="C61" t="str">
        <f t="shared" si="1"/>
        <v>pedroEscobar</v>
      </c>
      <c r="D61" t="str">
        <f t="shared" si="2"/>
        <v>pedEsc</v>
      </c>
      <c r="E61" s="17">
        <f t="shared" si="3"/>
        <v>7</v>
      </c>
      <c r="F61" s="17">
        <f t="shared" si="11"/>
        <v>0</v>
      </c>
      <c r="G61" s="17">
        <v>1</v>
      </c>
      <c r="H61" s="16">
        <f t="shared" si="10"/>
        <v>1</v>
      </c>
      <c r="I61" s="17">
        <f t="shared" si="15"/>
        <v>5</v>
      </c>
      <c r="J61" s="4">
        <v>1</v>
      </c>
      <c r="K61" s="14" t="str">
        <f t="shared" ref="K61" si="61">K54</f>
        <v>pedro</v>
      </c>
      <c r="L61" s="14" t="str">
        <f t="shared" si="29"/>
        <v>Escobar</v>
      </c>
      <c r="M61" s="14" t="str">
        <f t="shared" si="14"/>
        <v>tarango</v>
      </c>
      <c r="N61" s="20" t="str">
        <f t="shared" si="4"/>
        <v>peEt0151</v>
      </c>
      <c r="O61" t="str">
        <f t="shared" si="5"/>
        <v>peEt0151HTCSTR0</v>
      </c>
      <c r="P61" s="20" t="str">
        <f t="shared" si="9"/>
        <v>pedro.Escobar@gmail.com</v>
      </c>
      <c r="Q61" t="str">
        <f t="shared" si="6"/>
        <v>656  70151</v>
      </c>
      <c r="R61" t="s">
        <v>80</v>
      </c>
      <c r="Y61">
        <v>0</v>
      </c>
      <c r="Z61" t="str">
        <f t="shared" si="7"/>
        <v>MED-58</v>
      </c>
      <c r="AA61" s="11" t="str">
        <f t="shared" si="0"/>
        <v>EXECUTE [dbo].[PG_CI_CLIENTE] 0, 0, 58, 'pedroEscobar', 'pedEsc', 7, 0,1 ,1, 5, 1, 'pedro', 'Escobar', 'tarango', 'peEt0151', 'peEt0151HTCSTR0', 'pedro.Escobar@gmail.com', '656  70151', 'San Pancho','','','','','','', 0,'MED-58';</v>
      </c>
    </row>
    <row r="62" spans="2:27" x14ac:dyDescent="0.25">
      <c r="B62" s="18">
        <f t="shared" si="8"/>
        <v>59</v>
      </c>
      <c r="C62" t="str">
        <f t="shared" si="1"/>
        <v>luisDominguez</v>
      </c>
      <c r="D62" t="str">
        <f t="shared" si="2"/>
        <v>luiDom</v>
      </c>
      <c r="E62" s="17">
        <f t="shared" si="3"/>
        <v>10</v>
      </c>
      <c r="F62" s="17">
        <f t="shared" si="11"/>
        <v>1</v>
      </c>
      <c r="G62" s="17">
        <v>1</v>
      </c>
      <c r="H62" s="16">
        <f t="shared" si="10"/>
        <v>3</v>
      </c>
      <c r="I62" s="17">
        <f t="shared" si="15"/>
        <v>5</v>
      </c>
      <c r="J62" s="4">
        <v>1</v>
      </c>
      <c r="K62" s="14" t="str">
        <f t="shared" ref="K62" si="62">K55</f>
        <v>luis</v>
      </c>
      <c r="L62" s="14" t="str">
        <f t="shared" si="29"/>
        <v>Dominguez</v>
      </c>
      <c r="M62" s="14" t="str">
        <f t="shared" si="14"/>
        <v>cordero</v>
      </c>
      <c r="N62" s="20" t="str">
        <f t="shared" si="4"/>
        <v>luDc1351</v>
      </c>
      <c r="O62" t="str">
        <f t="shared" si="5"/>
        <v>luDc1351HTCSTR0</v>
      </c>
      <c r="P62" s="20" t="str">
        <f t="shared" si="9"/>
        <v>luis.Dominguez@gmail.com</v>
      </c>
      <c r="Q62" t="str">
        <f t="shared" si="6"/>
        <v>656  101351</v>
      </c>
      <c r="R62" t="s">
        <v>81</v>
      </c>
      <c r="Y62">
        <v>0</v>
      </c>
      <c r="Z62" t="str">
        <f t="shared" si="7"/>
        <v>MED-59</v>
      </c>
      <c r="AA62" s="11" t="str">
        <f t="shared" si="0"/>
        <v>EXECUTE [dbo].[PG_CI_CLIENTE] 0, 0, 59, 'luisDominguez', 'luiDom', 10, 1,1 ,3, 5, 1, 'luis', 'Dominguez', 'cordero', 'luDc1351', 'luDc1351HTCSTR0', 'luis.Dominguez@gmail.com', '656  101351', 'Yepomera','','','','','','', 0,'MED-59';</v>
      </c>
    </row>
    <row r="63" spans="2:27" x14ac:dyDescent="0.25">
      <c r="B63" s="18">
        <f t="shared" si="8"/>
        <v>60</v>
      </c>
      <c r="C63" t="str">
        <f t="shared" si="1"/>
        <v>marioLopez</v>
      </c>
      <c r="D63" t="str">
        <f t="shared" si="2"/>
        <v>marLop</v>
      </c>
      <c r="E63" s="17">
        <f t="shared" si="3"/>
        <v>10</v>
      </c>
      <c r="F63" s="17">
        <f t="shared" si="11"/>
        <v>1</v>
      </c>
      <c r="G63" s="17">
        <v>1</v>
      </c>
      <c r="H63" s="16">
        <f t="shared" si="10"/>
        <v>2</v>
      </c>
      <c r="I63" s="17">
        <f t="shared" si="15"/>
        <v>6</v>
      </c>
      <c r="J63" s="4">
        <v>1</v>
      </c>
      <c r="K63" s="14" t="str">
        <f t="shared" ref="K63" si="63">K56</f>
        <v>mario</v>
      </c>
      <c r="L63" s="14" t="str">
        <f t="shared" si="29"/>
        <v>Lopez</v>
      </c>
      <c r="M63" s="14" t="str">
        <f t="shared" si="14"/>
        <v>portillo</v>
      </c>
      <c r="N63" s="20" t="str">
        <f t="shared" si="4"/>
        <v>maLp1261</v>
      </c>
      <c r="O63" t="str">
        <f t="shared" si="5"/>
        <v>maLp1261HTCSTR0</v>
      </c>
      <c r="P63" s="20" t="str">
        <f t="shared" si="9"/>
        <v>mario.Lopez@gmail.com</v>
      </c>
      <c r="Q63" t="str">
        <f t="shared" si="6"/>
        <v>656  101261</v>
      </c>
      <c r="R63" t="s">
        <v>82</v>
      </c>
      <c r="Y63">
        <v>0</v>
      </c>
      <c r="Z63" t="str">
        <f t="shared" si="7"/>
        <v>MED-60</v>
      </c>
      <c r="AA63" s="11" t="str">
        <f t="shared" si="0"/>
        <v>EXECUTE [dbo].[PG_CI_CLIENTE] 0, 0, 60, 'marioLopez', 'marLop', 10, 1,1 ,2, 6, 1, 'mario', 'Lopez', 'portillo', 'maLp1261', 'maLp1261HTCSTR0', 'mario.Lopez@gmail.com', '656  101261', 'Oscar Flores','','','','','','', 0,'MED-60';</v>
      </c>
    </row>
    <row r="64" spans="2:27" x14ac:dyDescent="0.25">
      <c r="B64" s="18">
        <f t="shared" si="8"/>
        <v>61</v>
      </c>
      <c r="C64" t="str">
        <f t="shared" si="1"/>
        <v>betysandoval</v>
      </c>
      <c r="D64" t="str">
        <f t="shared" si="2"/>
        <v>betsan</v>
      </c>
      <c r="E64" s="17">
        <f t="shared" si="3"/>
        <v>11</v>
      </c>
      <c r="F64" s="17">
        <f t="shared" si="11"/>
        <v>0</v>
      </c>
      <c r="G64" s="17">
        <v>1</v>
      </c>
      <c r="H64" s="16">
        <f t="shared" si="10"/>
        <v>4</v>
      </c>
      <c r="I64" s="17">
        <f t="shared" si="15"/>
        <v>6</v>
      </c>
      <c r="J64" s="4">
        <v>1</v>
      </c>
      <c r="K64" s="14" t="str">
        <f t="shared" ref="K64" si="64">K57</f>
        <v>bety</v>
      </c>
      <c r="L64" s="14" t="str">
        <f t="shared" si="29"/>
        <v>sandoval</v>
      </c>
      <c r="M64" s="14" t="str">
        <f t="shared" si="14"/>
        <v>barraza</v>
      </c>
      <c r="N64" s="20" t="str">
        <f t="shared" si="4"/>
        <v>besb0461</v>
      </c>
      <c r="O64" t="str">
        <f t="shared" si="5"/>
        <v>besb0461HTCSTR0</v>
      </c>
      <c r="P64" s="20" t="str">
        <f t="shared" si="9"/>
        <v>bety.sandoval@gmail.com</v>
      </c>
      <c r="Q64" t="str">
        <f t="shared" si="6"/>
        <v>656  110461</v>
      </c>
      <c r="R64" t="s">
        <v>83</v>
      </c>
      <c r="Y64">
        <v>0</v>
      </c>
      <c r="Z64" t="str">
        <f t="shared" si="7"/>
        <v>MED-61</v>
      </c>
      <c r="AA64" s="11" t="str">
        <f t="shared" si="0"/>
        <v>EXECUTE [dbo].[PG_CI_CLIENTE] 0, 0, 61, 'betysandoval', 'betsan', 11, 0,1 ,4, 6, 1, 'bety', 'sandoval', 'barraza', 'besb0461', 'besb0461HTCSTR0', 'bety.sandoval@gmail.com', '656  110461', 'Panamericana','','','','','','', 0,'MED-61';</v>
      </c>
    </row>
    <row r="65" spans="2:27" x14ac:dyDescent="0.25">
      <c r="B65" s="18">
        <f t="shared" si="8"/>
        <v>62</v>
      </c>
      <c r="C65" t="str">
        <f t="shared" si="1"/>
        <v>mariaperez</v>
      </c>
      <c r="D65" t="str">
        <f t="shared" si="2"/>
        <v>marper</v>
      </c>
      <c r="E65" s="17">
        <f t="shared" si="3"/>
        <v>10</v>
      </c>
      <c r="F65" s="17">
        <f t="shared" si="11"/>
        <v>1</v>
      </c>
      <c r="G65" s="17">
        <v>1</v>
      </c>
      <c r="H65" s="16">
        <f t="shared" si="10"/>
        <v>1</v>
      </c>
      <c r="I65" s="17">
        <f t="shared" si="15"/>
        <v>7</v>
      </c>
      <c r="J65" s="4">
        <v>1</v>
      </c>
      <c r="K65" s="14" t="str">
        <f t="shared" ref="K65" si="65">K58</f>
        <v>maria</v>
      </c>
      <c r="L65" s="14" t="str">
        <f t="shared" si="29"/>
        <v>perez</v>
      </c>
      <c r="M65" s="14" t="str">
        <f t="shared" si="14"/>
        <v>salgado</v>
      </c>
      <c r="N65" s="20" t="str">
        <f t="shared" si="4"/>
        <v>maps1171</v>
      </c>
      <c r="O65" t="str">
        <f t="shared" si="5"/>
        <v>maps1171HTCSTR0</v>
      </c>
      <c r="P65" s="20" t="str">
        <f t="shared" si="9"/>
        <v>maria.perez@gmail.com</v>
      </c>
      <c r="Q65" t="str">
        <f t="shared" si="6"/>
        <v>656  101171</v>
      </c>
      <c r="R65" t="s">
        <v>84</v>
      </c>
      <c r="V65" s="12"/>
      <c r="Y65">
        <v>0</v>
      </c>
      <c r="Z65" t="str">
        <f t="shared" si="7"/>
        <v>MED-62</v>
      </c>
      <c r="AA65" s="11" t="str">
        <f t="shared" si="0"/>
        <v>EXECUTE [dbo].[PG_CI_CLIENTE] 0, 0, 62, 'mariaperez', 'marper', 10, 1,1 ,1, 7, 1, 'maria', 'perez', 'salgado', 'maps1171', 'maps1171HTCSTR0', 'maria.perez@gmail.com', '656  101171', 'Zaragoza','','','','','','', 0,'MED-62';</v>
      </c>
    </row>
    <row r="66" spans="2:27" x14ac:dyDescent="0.25">
      <c r="B66" s="18">
        <f t="shared" si="8"/>
        <v>63</v>
      </c>
      <c r="C66" t="str">
        <f t="shared" si="1"/>
        <v>renatamartinez</v>
      </c>
      <c r="D66" t="str">
        <f t="shared" si="2"/>
        <v>renmar</v>
      </c>
      <c r="E66" s="17">
        <f t="shared" si="3"/>
        <v>12</v>
      </c>
      <c r="F66" s="17">
        <f t="shared" si="11"/>
        <v>1</v>
      </c>
      <c r="G66" s="17">
        <v>1</v>
      </c>
      <c r="H66" s="16">
        <f t="shared" si="10"/>
        <v>3</v>
      </c>
      <c r="I66" s="17">
        <f t="shared" si="15"/>
        <v>7</v>
      </c>
      <c r="J66" s="4">
        <v>1</v>
      </c>
      <c r="K66" s="14" t="str">
        <f t="shared" ref="K66" si="66">K59</f>
        <v>renata</v>
      </c>
      <c r="L66" s="14" t="str">
        <f t="shared" si="29"/>
        <v>martinez</v>
      </c>
      <c r="M66" s="14" t="str">
        <f t="shared" si="14"/>
        <v>zamarron</v>
      </c>
      <c r="N66" s="20" t="str">
        <f t="shared" si="4"/>
        <v>remz1371</v>
      </c>
      <c r="O66" t="str">
        <f t="shared" si="5"/>
        <v>remz1371HTCSTR0</v>
      </c>
      <c r="P66" s="20" t="str">
        <f t="shared" si="9"/>
        <v>renata.martinez@gmail.com</v>
      </c>
      <c r="Q66" t="str">
        <f t="shared" si="6"/>
        <v>656  121371</v>
      </c>
      <c r="R66" t="s">
        <v>85</v>
      </c>
      <c r="Y66">
        <v>0</v>
      </c>
      <c r="Z66" t="str">
        <f t="shared" si="7"/>
        <v>MED-63</v>
      </c>
      <c r="AA66" s="11" t="str">
        <f t="shared" si="0"/>
        <v>EXECUTE [dbo].[PG_CI_CLIENTE] 0, 0, 63, 'renatamartinez', 'renmar', 12, 1,1 ,3, 7, 1, 'renata', 'martinez', 'zamarron', 'remz1371', 'remz1371HTCSTR0', 'renata.martinez@gmail.com', '656  121371', 'Porvenir','','','','','','', 0,'MED-63';</v>
      </c>
    </row>
    <row r="67" spans="2:27" x14ac:dyDescent="0.25">
      <c r="B67" s="18">
        <f t="shared" si="8"/>
        <v>64</v>
      </c>
      <c r="C67" t="str">
        <f t="shared" si="1"/>
        <v>juanescailla</v>
      </c>
      <c r="D67" t="str">
        <f t="shared" si="2"/>
        <v>juaesc</v>
      </c>
      <c r="E67" s="17">
        <f t="shared" si="3"/>
        <v>10</v>
      </c>
      <c r="F67" s="17">
        <f t="shared" si="11"/>
        <v>0</v>
      </c>
      <c r="G67" s="17">
        <v>1</v>
      </c>
      <c r="H67" s="16">
        <f t="shared" si="10"/>
        <v>2</v>
      </c>
      <c r="I67" s="17">
        <f t="shared" si="15"/>
        <v>7</v>
      </c>
      <c r="J67" s="4">
        <v>1</v>
      </c>
      <c r="K67" s="14" t="str">
        <f t="shared" ref="K67" si="67">K60</f>
        <v>juan</v>
      </c>
      <c r="L67" s="14" t="str">
        <f t="shared" si="29"/>
        <v>escailla</v>
      </c>
      <c r="M67" s="14" t="str">
        <f t="shared" si="14"/>
        <v>p4edroza</v>
      </c>
      <c r="N67" s="20" t="str">
        <f t="shared" si="4"/>
        <v>juep0271</v>
      </c>
      <c r="O67" t="str">
        <f t="shared" si="5"/>
        <v>juep0271HTCSTR0</v>
      </c>
      <c r="P67" s="20" t="str">
        <f t="shared" si="9"/>
        <v>juan.escailla@gmail.com</v>
      </c>
      <c r="Q67" t="str">
        <f t="shared" si="6"/>
        <v>656  100271</v>
      </c>
      <c r="R67" t="s">
        <v>86</v>
      </c>
      <c r="Y67">
        <v>0</v>
      </c>
      <c r="Z67" t="str">
        <f t="shared" si="7"/>
        <v>MED-64</v>
      </c>
      <c r="AA67" s="11" t="str">
        <f t="shared" si="0"/>
        <v>EXECUTE [dbo].[PG_CI_CLIENTE] 0, 0, 64, 'juanescailla', 'juaesc', 10, 0,1 ,2, 7, 1, 'juan', 'escailla', 'p4edroza', 'juep0271', 'juep0271HTCSTR0', 'juan.escailla@gmail.com', '656  100271', 'Henequen','','','','','','', 0,'MED-64';</v>
      </c>
    </row>
    <row r="68" spans="2:27" x14ac:dyDescent="0.25">
      <c r="B68" s="18">
        <f t="shared" si="8"/>
        <v>65</v>
      </c>
      <c r="C68" t="str">
        <f t="shared" si="1"/>
        <v>pedroarreola</v>
      </c>
      <c r="D68" t="str">
        <f t="shared" si="2"/>
        <v>pedarr</v>
      </c>
      <c r="E68" s="17">
        <f t="shared" si="3"/>
        <v>13</v>
      </c>
      <c r="F68" s="17">
        <f t="shared" si="11"/>
        <v>1</v>
      </c>
      <c r="G68" s="17">
        <v>1</v>
      </c>
      <c r="H68" s="16">
        <f t="shared" si="10"/>
        <v>4</v>
      </c>
      <c r="I68" s="17">
        <f t="shared" si="15"/>
        <v>7</v>
      </c>
      <c r="J68" s="4">
        <v>1</v>
      </c>
      <c r="K68" s="14" t="str">
        <f t="shared" ref="K68" si="68">K61</f>
        <v>pedro</v>
      </c>
      <c r="L68" s="14" t="str">
        <f t="shared" si="29"/>
        <v>arreola</v>
      </c>
      <c r="M68" s="14" t="str">
        <f t="shared" si="14"/>
        <v>narvaez</v>
      </c>
      <c r="N68" s="20" t="str">
        <f t="shared" si="4"/>
        <v>pean1471</v>
      </c>
      <c r="O68" t="str">
        <f t="shared" si="5"/>
        <v>pean1471HTCSTR0</v>
      </c>
      <c r="P68" s="20" t="str">
        <f t="shared" si="9"/>
        <v>pedro.arreola@gmail.com</v>
      </c>
      <c r="Q68" t="str">
        <f t="shared" si="6"/>
        <v>656  131471</v>
      </c>
      <c r="R68" t="s">
        <v>87</v>
      </c>
      <c r="Y68">
        <v>0</v>
      </c>
      <c r="Z68" t="str">
        <f t="shared" si="7"/>
        <v>MED-65</v>
      </c>
      <c r="AA68" s="11" t="str">
        <f t="shared" ref="AA68:AA72" si="69">CONCATENATE("EXECUTE [dbo].[PG_CI_CLIENTE] 0, 0, ",B68,", '",C68,"', '",D68,"', ",E68,", ",F68,",",G68," ,",H68,", ",I68,", ",J68,", '",K68,"', '",L68,"', '",M68,"', '",N68,"', '",O68,"', '",P68,"', '",Q68,"', '",R68,"','",S68,"','",T68,"','",U68,"','",V68,"','",W68,"','",X68,"', ",Y68,",'",Z68,"';" )</f>
        <v>EXECUTE [dbo].[PG_CI_CLIENTE] 0, 0, 65, 'pedroarreola', 'pedarr', 13, 1,1 ,4, 7, 1, 'pedro', 'arreola', 'narvaez', 'pean1471', 'pean1471HTCSTR0', 'pedro.arreola@gmail.com', '656  131471', 'Ejercito Nacional','','','','','','', 0,'MED-65';</v>
      </c>
    </row>
    <row r="69" spans="2:27" x14ac:dyDescent="0.25">
      <c r="B69" s="18">
        <f t="shared" si="8"/>
        <v>66</v>
      </c>
      <c r="C69" t="str">
        <f t="shared" ref="C69:C72" si="70">K69&amp;L69</f>
        <v>luisgonzalez</v>
      </c>
      <c r="D69" t="str">
        <f t="shared" ref="D69:D72" si="71">LEFT(K69,3)&amp;LEFT(L69,3)</f>
        <v>luigon</v>
      </c>
      <c r="E69" s="17">
        <f t="shared" ref="E69:E72" si="72">F69+H69+I69+J69</f>
        <v>11</v>
      </c>
      <c r="F69" s="17">
        <f t="shared" si="11"/>
        <v>1</v>
      </c>
      <c r="G69" s="17">
        <v>1</v>
      </c>
      <c r="H69" s="16">
        <f t="shared" si="10"/>
        <v>1</v>
      </c>
      <c r="I69" s="17">
        <f t="shared" si="15"/>
        <v>8</v>
      </c>
      <c r="J69" s="4">
        <v>1</v>
      </c>
      <c r="K69" s="14" t="str">
        <f t="shared" ref="K69" si="73">K62</f>
        <v>luis</v>
      </c>
      <c r="L69" s="14" t="str">
        <f t="shared" si="29"/>
        <v>gonzalez</v>
      </c>
      <c r="M69" s="14" t="str">
        <f t="shared" si="14"/>
        <v>Gutierres</v>
      </c>
      <c r="N69" s="20" t="str">
        <f t="shared" ref="N69:N72" si="74">LEFT(K69,2)&amp;LEFT(L69,1)&amp;LEFT(M69,1)&amp;F69&amp;H69&amp;I69&amp;J69</f>
        <v>lugG1181</v>
      </c>
      <c r="O69" t="str">
        <f t="shared" ref="O69:O72" si="75">N69&amp;"HTCSTR0"</f>
        <v>lugG1181HTCSTR0</v>
      </c>
      <c r="P69" s="20" t="str">
        <f t="shared" si="9"/>
        <v>luis.gonzalez@gmail.com</v>
      </c>
      <c r="Q69" t="str">
        <f t="shared" ref="Q69:Q72" si="76">656&amp;"  "&amp;E69&amp;F69&amp;H69&amp;I69&amp;J69</f>
        <v>656  111181</v>
      </c>
      <c r="R69" t="s">
        <v>51</v>
      </c>
      <c r="Y69">
        <v>0</v>
      </c>
      <c r="Z69" t="str">
        <f t="shared" ref="Z69:Z72" si="77">"MED-"&amp;B69</f>
        <v>MED-66</v>
      </c>
      <c r="AA69" s="11" t="str">
        <f t="shared" si="69"/>
        <v>EXECUTE [dbo].[PG_CI_CLIENTE] 0, 0, 66, 'luisgonzalez', 'luigon', 11, 1,1 ,1, 8, 1, 'luis', 'gonzalez', 'Gutierres', 'lugG1181', 'lugG1181HTCSTR0', 'luis.gonzalez@gmail.com', '656  111181', 'Av. Las torres','','','','','','', 0,'MED-66';</v>
      </c>
    </row>
    <row r="70" spans="2:27" x14ac:dyDescent="0.25">
      <c r="B70" s="18">
        <f t="shared" ref="B70:B72" si="78">B69+1</f>
        <v>67</v>
      </c>
      <c r="C70" t="str">
        <f t="shared" si="70"/>
        <v>marioEsteban</v>
      </c>
      <c r="D70" t="str">
        <f t="shared" si="71"/>
        <v>marEst</v>
      </c>
      <c r="E70" s="17">
        <f t="shared" si="72"/>
        <v>12</v>
      </c>
      <c r="F70" s="17">
        <f t="shared" si="11"/>
        <v>0</v>
      </c>
      <c r="G70" s="17">
        <v>1</v>
      </c>
      <c r="H70" s="16">
        <f t="shared" si="10"/>
        <v>3</v>
      </c>
      <c r="I70" s="17">
        <f t="shared" si="15"/>
        <v>8</v>
      </c>
      <c r="J70" s="4">
        <v>1</v>
      </c>
      <c r="K70" s="14" t="str">
        <f t="shared" ref="K70" si="79">K63</f>
        <v>mario</v>
      </c>
      <c r="L70" s="14" t="str">
        <f t="shared" si="29"/>
        <v>Esteban</v>
      </c>
      <c r="M70" s="14" t="str">
        <f t="shared" si="14"/>
        <v>Perez</v>
      </c>
      <c r="N70" s="20" t="str">
        <f t="shared" si="74"/>
        <v>maEP0381</v>
      </c>
      <c r="O70" t="str">
        <f t="shared" si="75"/>
        <v>maEP0381HTCSTR0</v>
      </c>
      <c r="P70" s="20" t="str">
        <f t="shared" si="9"/>
        <v>mario.Esteban@gmail.com</v>
      </c>
      <c r="Q70" t="str">
        <f t="shared" si="76"/>
        <v>656  120381</v>
      </c>
      <c r="R70" t="s">
        <v>52</v>
      </c>
      <c r="Y70">
        <v>0</v>
      </c>
      <c r="Z70" t="str">
        <f t="shared" si="77"/>
        <v>MED-67</v>
      </c>
      <c r="AA70" s="11" t="str">
        <f t="shared" si="69"/>
        <v>EXECUTE [dbo].[PG_CI_CLIENTE] 0, 0, 67, 'marioEsteban', 'marEst', 12, 0,1 ,3, 8, 1, 'mario', 'Esteban', 'Perez', 'maEP0381', 'maEP0381HTCSTR0', 'mario.Esteban@gmail.com', '656  120381', 'Av. Talamas camanadari','','','','','','', 0,'MED-67';</v>
      </c>
    </row>
    <row r="71" spans="2:27" x14ac:dyDescent="0.25">
      <c r="B71" s="18">
        <f t="shared" si="78"/>
        <v>68</v>
      </c>
      <c r="C71" t="str">
        <f t="shared" si="70"/>
        <v>betyPaz</v>
      </c>
      <c r="D71" t="str">
        <f t="shared" si="71"/>
        <v>betPaz</v>
      </c>
      <c r="E71" s="17">
        <f t="shared" si="72"/>
        <v>13</v>
      </c>
      <c r="F71" s="17">
        <f t="shared" si="11"/>
        <v>1</v>
      </c>
      <c r="G71" s="17">
        <v>1</v>
      </c>
      <c r="H71" s="16">
        <f t="shared" si="10"/>
        <v>2</v>
      </c>
      <c r="I71" s="17">
        <f t="shared" si="15"/>
        <v>9</v>
      </c>
      <c r="J71" s="4">
        <v>1</v>
      </c>
      <c r="K71" s="14" t="str">
        <f t="shared" ref="K71" si="80">K64</f>
        <v>bety</v>
      </c>
      <c r="L71" s="14" t="str">
        <f t="shared" si="29"/>
        <v>Paz</v>
      </c>
      <c r="M71" s="14" t="str">
        <f t="shared" si="14"/>
        <v>De Leon</v>
      </c>
      <c r="N71" s="20" t="str">
        <f t="shared" si="74"/>
        <v>bePD1291</v>
      </c>
      <c r="O71" t="str">
        <f t="shared" si="75"/>
        <v>bePD1291HTCSTR0</v>
      </c>
      <c r="P71" s="20" t="str">
        <f t="shared" si="9"/>
        <v>bety.Paz@gmail.com</v>
      </c>
      <c r="Q71" t="str">
        <f t="shared" si="76"/>
        <v>656  131291</v>
      </c>
      <c r="R71" t="s">
        <v>53</v>
      </c>
      <c r="Y71">
        <v>0</v>
      </c>
      <c r="Z71" t="str">
        <f t="shared" si="77"/>
        <v>MED-68</v>
      </c>
      <c r="AA71" s="11" t="str">
        <f t="shared" si="69"/>
        <v>EXECUTE [dbo].[PG_CI_CLIENTE] 0, 0, 68, 'betyPaz', 'betPaz', 13, 1,1 ,2, 9, 1, 'bety', 'Paz', 'De Leon', 'bePD1291', 'bePD1291HTCSTR0', 'bety.Paz@gmail.com', '656  131291', 'Av. Independencia','','','','','','', 0,'MED-68';</v>
      </c>
    </row>
    <row r="72" spans="2:27" x14ac:dyDescent="0.25">
      <c r="B72" s="18">
        <f t="shared" si="78"/>
        <v>69</v>
      </c>
      <c r="C72" t="str">
        <f t="shared" si="70"/>
        <v>mariaEscobar</v>
      </c>
      <c r="D72" t="str">
        <f t="shared" si="71"/>
        <v>marEsc</v>
      </c>
      <c r="E72" s="17">
        <f t="shared" si="72"/>
        <v>7</v>
      </c>
      <c r="F72" s="17">
        <f t="shared" si="11"/>
        <v>1</v>
      </c>
      <c r="G72" s="17">
        <v>1</v>
      </c>
      <c r="H72" s="16">
        <f t="shared" si="10"/>
        <v>4</v>
      </c>
      <c r="I72" s="17">
        <f t="shared" si="15"/>
        <v>1</v>
      </c>
      <c r="J72" s="4">
        <v>1</v>
      </c>
      <c r="K72" s="14" t="str">
        <f t="shared" ref="K72" si="81">K65</f>
        <v>maria</v>
      </c>
      <c r="L72" s="14" t="str">
        <f t="shared" si="29"/>
        <v>Escobar</v>
      </c>
      <c r="M72" s="14" t="str">
        <f t="shared" si="14"/>
        <v>Juarez</v>
      </c>
      <c r="N72" s="20" t="str">
        <f t="shared" si="74"/>
        <v>maEJ1411</v>
      </c>
      <c r="O72" t="str">
        <f t="shared" si="75"/>
        <v>maEJ1411HTCSTR0</v>
      </c>
      <c r="P72" s="20" t="str">
        <f t="shared" ref="P72" si="82">K72&amp;"."&amp;L72&amp;"@gmail.com"</f>
        <v>maria.Escobar@gmail.com</v>
      </c>
      <c r="Q72" t="str">
        <f t="shared" si="76"/>
        <v>656  71411</v>
      </c>
      <c r="R72" t="s">
        <v>54</v>
      </c>
      <c r="Y72">
        <v>0</v>
      </c>
      <c r="Z72" t="str">
        <f t="shared" si="77"/>
        <v>MED-69</v>
      </c>
      <c r="AA72" s="11" t="str">
        <f t="shared" si="69"/>
        <v>EXECUTE [dbo].[PG_CI_CLIENTE] 0, 0, 69, 'mariaEscobar', 'marEsc', 7, 1,1 ,4, 1, 1, 'maria', 'Escobar', 'Juarez', 'maEJ1411', 'maEJ1411HTCSTR0', 'maria.Escobar@gmail.com', '656  71411', 'Av. Gomez Morin','','','','','','', 0,'MED-69';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XXXX</vt:lpstr>
      <vt:lpstr>CLIENTE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FRANCISCO ESTEBAN</cp:lastModifiedBy>
  <dcterms:created xsi:type="dcterms:W3CDTF">2017-11-29T18:04:32Z</dcterms:created>
  <dcterms:modified xsi:type="dcterms:W3CDTF">2019-01-02T17:39:14Z</dcterms:modified>
</cp:coreProperties>
</file>